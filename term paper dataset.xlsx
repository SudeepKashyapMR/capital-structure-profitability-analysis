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c6a3877cb70687/Desktop/T3/Term paper/"/>
    </mc:Choice>
  </mc:AlternateContent>
  <xr:revisionPtr revIDLastSave="984" documentId="8_{02C37854-2137-485E-8C3B-BA72BA2FB39A}" xr6:coauthVersionLast="47" xr6:coauthVersionMax="47" xr10:uidLastSave="{AB7D346D-7238-41FB-ACD0-DD34DFD732C2}"/>
  <bookViews>
    <workbookView xWindow="-108" yWindow="-108" windowWidth="23256" windowHeight="12456" xr2:uid="{6A5A2E17-4EB9-447D-A60D-17D6E5AB76D8}"/>
  </bookViews>
  <sheets>
    <sheet name="Dataset" sheetId="1" r:id="rId1"/>
    <sheet name="old" sheetId="3" r:id="rId2"/>
    <sheet name="Sheet4" sheetId="4" r:id="rId3"/>
    <sheet name="Regression" sheetId="7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2" i="1" l="1"/>
  <c r="L182" i="1"/>
  <c r="L172" i="1"/>
  <c r="L162" i="1"/>
  <c r="L152" i="1"/>
  <c r="L142" i="1"/>
  <c r="L132" i="1"/>
  <c r="L122" i="1"/>
  <c r="L112" i="1"/>
  <c r="L102" i="1"/>
  <c r="L92" i="1"/>
  <c r="L82" i="1"/>
  <c r="L72" i="1"/>
  <c r="L62" i="1"/>
  <c r="L52" i="1"/>
  <c r="L42" i="1"/>
  <c r="L32" i="1"/>
  <c r="L22" i="1"/>
  <c r="L12" i="1"/>
  <c r="L2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G178" i="1"/>
  <c r="C181" i="4" l="1"/>
  <c r="C180" i="4"/>
  <c r="C179" i="4"/>
  <c r="C178" i="4"/>
  <c r="C177" i="4"/>
  <c r="C176" i="4"/>
  <c r="C175" i="4"/>
  <c r="C174" i="4"/>
  <c r="C173" i="4"/>
  <c r="C172" i="4"/>
  <c r="I2" i="1"/>
  <c r="I3" i="1"/>
  <c r="I4" i="1"/>
  <c r="I5" i="1"/>
  <c r="I6" i="1"/>
  <c r="I7" i="1"/>
  <c r="I8" i="1"/>
  <c r="I9" i="1"/>
  <c r="I10" i="1"/>
  <c r="I11" i="1"/>
  <c r="K201" i="3" l="1"/>
  <c r="G201" i="3"/>
  <c r="J201" i="3" s="1"/>
  <c r="F201" i="3"/>
  <c r="K200" i="3"/>
  <c r="G200" i="3"/>
  <c r="J200" i="3" s="1"/>
  <c r="F200" i="3"/>
  <c r="K199" i="3"/>
  <c r="G199" i="3"/>
  <c r="J199" i="3" s="1"/>
  <c r="F199" i="3"/>
  <c r="K198" i="3"/>
  <c r="G198" i="3"/>
  <c r="J198" i="3" s="1"/>
  <c r="F198" i="3"/>
  <c r="K197" i="3"/>
  <c r="G197" i="3"/>
  <c r="J197" i="3" s="1"/>
  <c r="F197" i="3"/>
  <c r="K196" i="3"/>
  <c r="G196" i="3"/>
  <c r="J196" i="3" s="1"/>
  <c r="F196" i="3"/>
  <c r="K195" i="3"/>
  <c r="G195" i="3"/>
  <c r="J195" i="3" s="1"/>
  <c r="F195" i="3"/>
  <c r="K194" i="3"/>
  <c r="G194" i="3"/>
  <c r="J194" i="3" s="1"/>
  <c r="F194" i="3"/>
  <c r="K193" i="3"/>
  <c r="G193" i="3"/>
  <c r="J193" i="3" s="1"/>
  <c r="F193" i="3"/>
  <c r="K192" i="3"/>
  <c r="G192" i="3"/>
  <c r="J192" i="3" s="1"/>
  <c r="F192" i="3"/>
  <c r="K191" i="3"/>
  <c r="G191" i="3"/>
  <c r="J191" i="3" s="1"/>
  <c r="F191" i="3"/>
  <c r="K190" i="3"/>
  <c r="G190" i="3"/>
  <c r="J190" i="3" s="1"/>
  <c r="F190" i="3"/>
  <c r="K189" i="3"/>
  <c r="G189" i="3"/>
  <c r="J189" i="3" s="1"/>
  <c r="F189" i="3"/>
  <c r="K188" i="3"/>
  <c r="G188" i="3"/>
  <c r="J188" i="3" s="1"/>
  <c r="F188" i="3"/>
  <c r="K187" i="3"/>
  <c r="G187" i="3"/>
  <c r="J187" i="3" s="1"/>
  <c r="F187" i="3"/>
  <c r="K186" i="3"/>
  <c r="G186" i="3"/>
  <c r="J186" i="3" s="1"/>
  <c r="F186" i="3"/>
  <c r="K185" i="3"/>
  <c r="G185" i="3"/>
  <c r="F185" i="3"/>
  <c r="K184" i="3"/>
  <c r="G184" i="3"/>
  <c r="J184" i="3" s="1"/>
  <c r="F184" i="3"/>
  <c r="K183" i="3"/>
  <c r="G183" i="3"/>
  <c r="J183" i="3" s="1"/>
  <c r="F183" i="3"/>
  <c r="K182" i="3"/>
  <c r="G182" i="3"/>
  <c r="J182" i="3" s="1"/>
  <c r="F182" i="3"/>
  <c r="G181" i="3"/>
  <c r="F181" i="3"/>
  <c r="G180" i="3"/>
  <c r="F180" i="3"/>
  <c r="G179" i="3"/>
  <c r="F179" i="3"/>
  <c r="G178" i="3"/>
  <c r="F178" i="3"/>
  <c r="G177" i="3"/>
  <c r="F177" i="3"/>
  <c r="I177" i="3" s="1"/>
  <c r="G176" i="3"/>
  <c r="F176" i="3"/>
  <c r="G175" i="3"/>
  <c r="F175" i="3"/>
  <c r="G174" i="3"/>
  <c r="F174" i="3"/>
  <c r="G173" i="3"/>
  <c r="F173" i="3"/>
  <c r="H172" i="3" a="1"/>
  <c r="H172" i="3" s="1"/>
  <c r="G172" i="3"/>
  <c r="F172" i="3"/>
  <c r="D172" i="3" a="1"/>
  <c r="K177" i="3" s="1"/>
  <c r="K171" i="3"/>
  <c r="J171" i="3"/>
  <c r="I171" i="3"/>
  <c r="K170" i="3"/>
  <c r="J170" i="3"/>
  <c r="I170" i="3"/>
  <c r="K169" i="3"/>
  <c r="J169" i="3"/>
  <c r="I169" i="3"/>
  <c r="K168" i="3"/>
  <c r="J168" i="3"/>
  <c r="I168" i="3"/>
  <c r="K167" i="3"/>
  <c r="J167" i="3"/>
  <c r="I167" i="3"/>
  <c r="K166" i="3"/>
  <c r="J166" i="3"/>
  <c r="I166" i="3"/>
  <c r="K165" i="3"/>
  <c r="J165" i="3"/>
  <c r="I165" i="3"/>
  <c r="K164" i="3"/>
  <c r="J164" i="3"/>
  <c r="I164" i="3"/>
  <c r="K163" i="3"/>
  <c r="J163" i="3"/>
  <c r="I163" i="3"/>
  <c r="K162" i="3"/>
  <c r="J162" i="3"/>
  <c r="I162" i="3"/>
  <c r="K161" i="3"/>
  <c r="J161" i="3"/>
  <c r="I161" i="3"/>
  <c r="K160" i="3"/>
  <c r="J160" i="3"/>
  <c r="I160" i="3"/>
  <c r="K159" i="3"/>
  <c r="J159" i="3"/>
  <c r="I159" i="3"/>
  <c r="K158" i="3"/>
  <c r="J158" i="3"/>
  <c r="I158" i="3"/>
  <c r="K157" i="3"/>
  <c r="J157" i="3"/>
  <c r="I157" i="3"/>
  <c r="K156" i="3"/>
  <c r="J156" i="3"/>
  <c r="I156" i="3"/>
  <c r="K155" i="3"/>
  <c r="J155" i="3"/>
  <c r="I155" i="3"/>
  <c r="K154" i="3"/>
  <c r="J154" i="3"/>
  <c r="I154" i="3"/>
  <c r="K153" i="3"/>
  <c r="J153" i="3"/>
  <c r="I153" i="3"/>
  <c r="K152" i="3"/>
  <c r="J152" i="3"/>
  <c r="I152" i="3"/>
  <c r="K151" i="3"/>
  <c r="J151" i="3"/>
  <c r="I151" i="3"/>
  <c r="K150" i="3"/>
  <c r="J150" i="3"/>
  <c r="I150" i="3"/>
  <c r="K149" i="3"/>
  <c r="J149" i="3"/>
  <c r="I149" i="3"/>
  <c r="K148" i="3"/>
  <c r="J148" i="3"/>
  <c r="I148" i="3"/>
  <c r="K147" i="3"/>
  <c r="J147" i="3"/>
  <c r="I147" i="3"/>
  <c r="K146" i="3"/>
  <c r="J146" i="3"/>
  <c r="I146" i="3"/>
  <c r="K145" i="3"/>
  <c r="J145" i="3"/>
  <c r="I145" i="3"/>
  <c r="K144" i="3"/>
  <c r="J144" i="3"/>
  <c r="I144" i="3"/>
  <c r="K143" i="3"/>
  <c r="J143" i="3"/>
  <c r="I143" i="3"/>
  <c r="K142" i="3"/>
  <c r="J142" i="3"/>
  <c r="I142" i="3"/>
  <c r="K141" i="3"/>
  <c r="J141" i="3"/>
  <c r="I141" i="3"/>
  <c r="K140" i="3"/>
  <c r="J140" i="3"/>
  <c r="I140" i="3"/>
  <c r="K139" i="3"/>
  <c r="J139" i="3"/>
  <c r="I139" i="3"/>
  <c r="K138" i="3"/>
  <c r="J138" i="3"/>
  <c r="I138" i="3"/>
  <c r="K137" i="3"/>
  <c r="J137" i="3"/>
  <c r="I137" i="3"/>
  <c r="K136" i="3"/>
  <c r="J136" i="3"/>
  <c r="I136" i="3"/>
  <c r="K135" i="3"/>
  <c r="J135" i="3"/>
  <c r="I135" i="3"/>
  <c r="K134" i="3"/>
  <c r="J134" i="3"/>
  <c r="I134" i="3"/>
  <c r="K133" i="3"/>
  <c r="J133" i="3"/>
  <c r="I133" i="3"/>
  <c r="K132" i="3"/>
  <c r="J132" i="3"/>
  <c r="I132" i="3"/>
  <c r="K131" i="3"/>
  <c r="J131" i="3"/>
  <c r="I131" i="3"/>
  <c r="K130" i="3"/>
  <c r="J130" i="3"/>
  <c r="I130" i="3"/>
  <c r="K129" i="3"/>
  <c r="J129" i="3"/>
  <c r="I129" i="3"/>
  <c r="K128" i="3"/>
  <c r="J128" i="3"/>
  <c r="I128" i="3"/>
  <c r="K127" i="3"/>
  <c r="J127" i="3"/>
  <c r="I127" i="3"/>
  <c r="K126" i="3"/>
  <c r="J126" i="3"/>
  <c r="I126" i="3"/>
  <c r="K125" i="3"/>
  <c r="J125" i="3"/>
  <c r="I125" i="3"/>
  <c r="K124" i="3"/>
  <c r="J124" i="3"/>
  <c r="I124" i="3"/>
  <c r="K123" i="3"/>
  <c r="J123" i="3"/>
  <c r="I123" i="3"/>
  <c r="K122" i="3"/>
  <c r="J122" i="3"/>
  <c r="I122" i="3"/>
  <c r="K121" i="3"/>
  <c r="J121" i="3"/>
  <c r="I121" i="3"/>
  <c r="K120" i="3"/>
  <c r="J120" i="3"/>
  <c r="I120" i="3"/>
  <c r="K119" i="3"/>
  <c r="J119" i="3"/>
  <c r="I119" i="3"/>
  <c r="K118" i="3"/>
  <c r="J118" i="3"/>
  <c r="I118" i="3"/>
  <c r="K117" i="3"/>
  <c r="J117" i="3"/>
  <c r="I117" i="3"/>
  <c r="K116" i="3"/>
  <c r="J116" i="3"/>
  <c r="I116" i="3"/>
  <c r="K115" i="3"/>
  <c r="J115" i="3"/>
  <c r="I115" i="3"/>
  <c r="K114" i="3"/>
  <c r="J114" i="3"/>
  <c r="I114" i="3"/>
  <c r="K113" i="3"/>
  <c r="J113" i="3"/>
  <c r="I113" i="3"/>
  <c r="K112" i="3"/>
  <c r="J112" i="3"/>
  <c r="I112" i="3"/>
  <c r="K111" i="3"/>
  <c r="J111" i="3"/>
  <c r="I111" i="3"/>
  <c r="K110" i="3"/>
  <c r="J110" i="3"/>
  <c r="I110" i="3"/>
  <c r="K109" i="3"/>
  <c r="J109" i="3"/>
  <c r="I109" i="3"/>
  <c r="K108" i="3"/>
  <c r="J108" i="3"/>
  <c r="I108" i="3"/>
  <c r="K107" i="3"/>
  <c r="J107" i="3"/>
  <c r="I107" i="3"/>
  <c r="K106" i="3"/>
  <c r="J106" i="3"/>
  <c r="I106" i="3"/>
  <c r="K105" i="3"/>
  <c r="J105" i="3"/>
  <c r="I105" i="3"/>
  <c r="K104" i="3"/>
  <c r="J104" i="3"/>
  <c r="I104" i="3"/>
  <c r="K103" i="3"/>
  <c r="J103" i="3"/>
  <c r="I103" i="3"/>
  <c r="K102" i="3"/>
  <c r="J102" i="3"/>
  <c r="I102" i="3"/>
  <c r="K101" i="3"/>
  <c r="J101" i="3"/>
  <c r="I101" i="3"/>
  <c r="K100" i="3"/>
  <c r="J100" i="3"/>
  <c r="I100" i="3"/>
  <c r="K99" i="3"/>
  <c r="J99" i="3"/>
  <c r="I99" i="3"/>
  <c r="K98" i="3"/>
  <c r="J98" i="3"/>
  <c r="I98" i="3"/>
  <c r="K97" i="3"/>
  <c r="J97" i="3"/>
  <c r="I97" i="3"/>
  <c r="K96" i="3"/>
  <c r="J96" i="3"/>
  <c r="I96" i="3"/>
  <c r="K95" i="3"/>
  <c r="J95" i="3"/>
  <c r="I95" i="3"/>
  <c r="K94" i="3"/>
  <c r="J94" i="3"/>
  <c r="I94" i="3"/>
  <c r="K93" i="3"/>
  <c r="J93" i="3"/>
  <c r="I93" i="3"/>
  <c r="K92" i="3"/>
  <c r="J92" i="3"/>
  <c r="I92" i="3"/>
  <c r="K91" i="3"/>
  <c r="J91" i="3"/>
  <c r="I91" i="3"/>
  <c r="K90" i="3"/>
  <c r="J90" i="3"/>
  <c r="I90" i="3"/>
  <c r="K89" i="3"/>
  <c r="J89" i="3"/>
  <c r="I89" i="3"/>
  <c r="K88" i="3"/>
  <c r="J88" i="3"/>
  <c r="I88" i="3"/>
  <c r="K87" i="3"/>
  <c r="J87" i="3"/>
  <c r="I87" i="3"/>
  <c r="K86" i="3"/>
  <c r="J86" i="3"/>
  <c r="I86" i="3"/>
  <c r="K85" i="3"/>
  <c r="J85" i="3"/>
  <c r="I85" i="3"/>
  <c r="K84" i="3"/>
  <c r="J84" i="3"/>
  <c r="I84" i="3"/>
  <c r="K83" i="3"/>
  <c r="J83" i="3"/>
  <c r="I83" i="3"/>
  <c r="K82" i="3"/>
  <c r="J82" i="3"/>
  <c r="I82" i="3"/>
  <c r="K81" i="3"/>
  <c r="J81" i="3"/>
  <c r="I81" i="3"/>
  <c r="K80" i="3"/>
  <c r="J80" i="3"/>
  <c r="I80" i="3"/>
  <c r="K79" i="3"/>
  <c r="J79" i="3"/>
  <c r="I79" i="3"/>
  <c r="K78" i="3"/>
  <c r="J78" i="3"/>
  <c r="I78" i="3"/>
  <c r="K77" i="3"/>
  <c r="J77" i="3"/>
  <c r="I77" i="3"/>
  <c r="K76" i="3"/>
  <c r="J76" i="3"/>
  <c r="I76" i="3"/>
  <c r="K75" i="3"/>
  <c r="J75" i="3"/>
  <c r="I75" i="3"/>
  <c r="K74" i="3"/>
  <c r="J74" i="3"/>
  <c r="I74" i="3"/>
  <c r="K73" i="3"/>
  <c r="J73" i="3"/>
  <c r="I73" i="3"/>
  <c r="K72" i="3"/>
  <c r="J72" i="3"/>
  <c r="I72" i="3"/>
  <c r="K71" i="3"/>
  <c r="J71" i="3"/>
  <c r="I71" i="3"/>
  <c r="K70" i="3"/>
  <c r="J70" i="3"/>
  <c r="I70" i="3"/>
  <c r="K69" i="3"/>
  <c r="J69" i="3"/>
  <c r="I69" i="3"/>
  <c r="K68" i="3"/>
  <c r="J68" i="3"/>
  <c r="I68" i="3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F41" i="3"/>
  <c r="I41" i="3" s="1"/>
  <c r="K40" i="3"/>
  <c r="J40" i="3"/>
  <c r="F40" i="3"/>
  <c r="I40" i="3" s="1"/>
  <c r="K39" i="3"/>
  <c r="J39" i="3"/>
  <c r="F39" i="3"/>
  <c r="I39" i="3" s="1"/>
  <c r="K38" i="3"/>
  <c r="J38" i="3"/>
  <c r="F38" i="3"/>
  <c r="I38" i="3" s="1"/>
  <c r="K37" i="3"/>
  <c r="J37" i="3"/>
  <c r="F37" i="3"/>
  <c r="I37" i="3" s="1"/>
  <c r="K36" i="3"/>
  <c r="J36" i="3"/>
  <c r="F36" i="3"/>
  <c r="I36" i="3" s="1"/>
  <c r="K35" i="3"/>
  <c r="J35" i="3"/>
  <c r="F35" i="3"/>
  <c r="I35" i="3" s="1"/>
  <c r="K34" i="3"/>
  <c r="J34" i="3"/>
  <c r="F34" i="3"/>
  <c r="I34" i="3" s="1"/>
  <c r="K33" i="3"/>
  <c r="J33" i="3"/>
  <c r="F33" i="3"/>
  <c r="I33" i="3" s="1"/>
  <c r="K32" i="3"/>
  <c r="J32" i="3"/>
  <c r="F32" i="3"/>
  <c r="I32" i="3" s="1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  <c r="I62" i="1"/>
  <c r="J62" i="1"/>
  <c r="K62" i="1"/>
  <c r="K193" i="1"/>
  <c r="K194" i="1"/>
  <c r="K195" i="1"/>
  <c r="K196" i="1"/>
  <c r="K197" i="1"/>
  <c r="K198" i="1"/>
  <c r="K199" i="1"/>
  <c r="K200" i="1"/>
  <c r="K201" i="1"/>
  <c r="K192" i="1"/>
  <c r="I182" i="3" l="1"/>
  <c r="I190" i="3"/>
  <c r="I195" i="3"/>
  <c r="I199" i="3"/>
  <c r="I179" i="3"/>
  <c r="I201" i="3"/>
  <c r="I194" i="3"/>
  <c r="I175" i="3"/>
  <c r="I174" i="3"/>
  <c r="I193" i="3"/>
  <c r="I180" i="3"/>
  <c r="I192" i="3"/>
  <c r="I184" i="3"/>
  <c r="I185" i="3"/>
  <c r="I186" i="3"/>
  <c r="I183" i="3"/>
  <c r="I187" i="3"/>
  <c r="I191" i="3"/>
  <c r="I173" i="3"/>
  <c r="I172" i="3"/>
  <c r="I188" i="3"/>
  <c r="J175" i="3"/>
  <c r="K175" i="3"/>
  <c r="J180" i="3"/>
  <c r="I196" i="3"/>
  <c r="I176" i="3"/>
  <c r="I181" i="3"/>
  <c r="I189" i="3"/>
  <c r="I200" i="3"/>
  <c r="I178" i="3"/>
  <c r="I198" i="3"/>
  <c r="I197" i="3"/>
  <c r="K180" i="3"/>
  <c r="J185" i="3"/>
  <c r="J178" i="3"/>
  <c r="K176" i="3"/>
  <c r="J181" i="3"/>
  <c r="K174" i="3"/>
  <c r="J179" i="3"/>
  <c r="K179" i="3"/>
  <c r="J173" i="3"/>
  <c r="D172" i="3"/>
  <c r="J174" i="3"/>
  <c r="K181" i="3"/>
  <c r="J177" i="3"/>
  <c r="K173" i="3"/>
  <c r="K178" i="3"/>
  <c r="J176" i="3"/>
  <c r="K183" i="1"/>
  <c r="K184" i="1"/>
  <c r="K185" i="1"/>
  <c r="K186" i="1"/>
  <c r="K187" i="1"/>
  <c r="K188" i="1"/>
  <c r="K189" i="1"/>
  <c r="K190" i="1"/>
  <c r="K191" i="1"/>
  <c r="K182" i="1"/>
  <c r="K172" i="3" l="1"/>
  <c r="J172" i="3"/>
  <c r="G172" i="1"/>
  <c r="G173" i="1"/>
  <c r="G174" i="1"/>
  <c r="G175" i="1"/>
  <c r="G176" i="1"/>
  <c r="G177" i="1"/>
  <c r="G179" i="1"/>
  <c r="G180" i="1"/>
  <c r="G181" i="1"/>
  <c r="H172" i="1" a="1"/>
  <c r="H172" i="1" s="1"/>
  <c r="D172" i="1" a="1"/>
  <c r="D172" i="1" s="1"/>
  <c r="K179" i="1" l="1"/>
  <c r="K178" i="1"/>
  <c r="K177" i="1"/>
  <c r="K176" i="1"/>
  <c r="K175" i="1"/>
  <c r="K174" i="1"/>
  <c r="K173" i="1"/>
  <c r="K172" i="1"/>
  <c r="K181" i="1"/>
  <c r="K180" i="1"/>
  <c r="K163" i="1"/>
  <c r="K164" i="1"/>
  <c r="K165" i="1"/>
  <c r="K166" i="1"/>
  <c r="K167" i="1"/>
  <c r="K168" i="1"/>
  <c r="K169" i="1"/>
  <c r="K170" i="1"/>
  <c r="K171" i="1"/>
  <c r="K162" i="1"/>
  <c r="J163" i="1"/>
  <c r="J164" i="1"/>
  <c r="J165" i="1"/>
  <c r="J166" i="1"/>
  <c r="J167" i="1"/>
  <c r="J168" i="1"/>
  <c r="J169" i="1"/>
  <c r="J170" i="1"/>
  <c r="J171" i="1"/>
  <c r="J162" i="1"/>
  <c r="I163" i="1"/>
  <c r="I164" i="1"/>
  <c r="I165" i="1"/>
  <c r="I166" i="1"/>
  <c r="I167" i="1"/>
  <c r="I168" i="1"/>
  <c r="I169" i="1"/>
  <c r="I170" i="1"/>
  <c r="I171" i="1"/>
  <c r="I162" i="1"/>
  <c r="K153" i="1" l="1"/>
  <c r="K154" i="1"/>
  <c r="K155" i="1"/>
  <c r="K156" i="1"/>
  <c r="K157" i="1"/>
  <c r="K158" i="1"/>
  <c r="K159" i="1"/>
  <c r="K160" i="1"/>
  <c r="K161" i="1"/>
  <c r="K152" i="1"/>
  <c r="J153" i="1"/>
  <c r="J154" i="1"/>
  <c r="J155" i="1"/>
  <c r="J156" i="1"/>
  <c r="J157" i="1"/>
  <c r="J158" i="1"/>
  <c r="J159" i="1"/>
  <c r="J160" i="1"/>
  <c r="J161" i="1"/>
  <c r="J152" i="1"/>
  <c r="I153" i="1"/>
  <c r="I154" i="1"/>
  <c r="I155" i="1"/>
  <c r="I156" i="1"/>
  <c r="I157" i="1"/>
  <c r="I158" i="1"/>
  <c r="I159" i="1"/>
  <c r="I160" i="1"/>
  <c r="I161" i="1"/>
  <c r="I152" i="1"/>
  <c r="K143" i="1" l="1"/>
  <c r="K144" i="1"/>
  <c r="K145" i="1"/>
  <c r="K146" i="1"/>
  <c r="K147" i="1"/>
  <c r="K148" i="1"/>
  <c r="K149" i="1"/>
  <c r="K150" i="1"/>
  <c r="K151" i="1"/>
  <c r="K142" i="1"/>
  <c r="J143" i="1"/>
  <c r="J144" i="1"/>
  <c r="J145" i="1"/>
  <c r="J146" i="1"/>
  <c r="J147" i="1"/>
  <c r="J148" i="1"/>
  <c r="J149" i="1"/>
  <c r="J150" i="1"/>
  <c r="J151" i="1"/>
  <c r="J142" i="1"/>
  <c r="I143" i="1"/>
  <c r="I144" i="1"/>
  <c r="I145" i="1"/>
  <c r="I146" i="1"/>
  <c r="I147" i="1"/>
  <c r="I148" i="1"/>
  <c r="I149" i="1"/>
  <c r="I150" i="1"/>
  <c r="I151" i="1"/>
  <c r="I142" i="1"/>
  <c r="K133" i="1" l="1"/>
  <c r="K134" i="1"/>
  <c r="K135" i="1"/>
  <c r="K136" i="1"/>
  <c r="K137" i="1"/>
  <c r="K138" i="1"/>
  <c r="K139" i="1"/>
  <c r="K140" i="1"/>
  <c r="K141" i="1"/>
  <c r="K132" i="1"/>
  <c r="J133" i="1"/>
  <c r="J134" i="1"/>
  <c r="J135" i="1"/>
  <c r="J136" i="1"/>
  <c r="J137" i="1"/>
  <c r="J138" i="1"/>
  <c r="J139" i="1"/>
  <c r="J140" i="1"/>
  <c r="J141" i="1"/>
  <c r="J132" i="1"/>
  <c r="I133" i="1"/>
  <c r="I134" i="1"/>
  <c r="I135" i="1"/>
  <c r="I136" i="1"/>
  <c r="I137" i="1"/>
  <c r="I138" i="1"/>
  <c r="I139" i="1"/>
  <c r="I140" i="1"/>
  <c r="I141" i="1"/>
  <c r="I132" i="1"/>
  <c r="K123" i="1" l="1"/>
  <c r="K124" i="1"/>
  <c r="K125" i="1"/>
  <c r="K126" i="1"/>
  <c r="K127" i="1"/>
  <c r="K128" i="1"/>
  <c r="K129" i="1"/>
  <c r="K130" i="1"/>
  <c r="K131" i="1"/>
  <c r="K122" i="1"/>
  <c r="J123" i="1"/>
  <c r="J124" i="1"/>
  <c r="J125" i="1"/>
  <c r="J126" i="1"/>
  <c r="J127" i="1"/>
  <c r="J128" i="1"/>
  <c r="J129" i="1"/>
  <c r="J130" i="1"/>
  <c r="J131" i="1"/>
  <c r="J122" i="1"/>
  <c r="I123" i="1"/>
  <c r="I124" i="1"/>
  <c r="I125" i="1"/>
  <c r="I126" i="1"/>
  <c r="I127" i="1"/>
  <c r="I128" i="1"/>
  <c r="I129" i="1"/>
  <c r="I130" i="1"/>
  <c r="I131" i="1"/>
  <c r="I122" i="1"/>
  <c r="K113" i="1" l="1"/>
  <c r="K114" i="1"/>
  <c r="K115" i="1"/>
  <c r="K116" i="1"/>
  <c r="K117" i="1"/>
  <c r="K118" i="1"/>
  <c r="K119" i="1"/>
  <c r="K120" i="1"/>
  <c r="K121" i="1"/>
  <c r="K112" i="1"/>
  <c r="J113" i="1"/>
  <c r="J114" i="1"/>
  <c r="J115" i="1"/>
  <c r="J116" i="1"/>
  <c r="J117" i="1"/>
  <c r="J118" i="1"/>
  <c r="J119" i="1"/>
  <c r="J120" i="1"/>
  <c r="J121" i="1"/>
  <c r="J112" i="1"/>
  <c r="I113" i="1"/>
  <c r="I114" i="1"/>
  <c r="I115" i="1"/>
  <c r="I116" i="1"/>
  <c r="I117" i="1"/>
  <c r="I118" i="1"/>
  <c r="I119" i="1"/>
  <c r="I120" i="1"/>
  <c r="I121" i="1"/>
  <c r="I112" i="1"/>
  <c r="K103" i="1" l="1"/>
  <c r="K104" i="1"/>
  <c r="K105" i="1"/>
  <c r="K106" i="1"/>
  <c r="K107" i="1"/>
  <c r="K108" i="1"/>
  <c r="K109" i="1"/>
  <c r="K110" i="1"/>
  <c r="K111" i="1"/>
  <c r="K102" i="1"/>
  <c r="J103" i="1"/>
  <c r="J104" i="1"/>
  <c r="J105" i="1"/>
  <c r="J106" i="1"/>
  <c r="J107" i="1"/>
  <c r="J108" i="1"/>
  <c r="J109" i="1"/>
  <c r="J110" i="1"/>
  <c r="J111" i="1"/>
  <c r="J102" i="1"/>
  <c r="I103" i="1"/>
  <c r="I104" i="1"/>
  <c r="I105" i="1"/>
  <c r="I106" i="1"/>
  <c r="I107" i="1"/>
  <c r="I108" i="1"/>
  <c r="I109" i="1"/>
  <c r="I110" i="1"/>
  <c r="I111" i="1"/>
  <c r="I102" i="1"/>
  <c r="K93" i="1" l="1"/>
  <c r="K94" i="1"/>
  <c r="K95" i="1"/>
  <c r="K96" i="1"/>
  <c r="K97" i="1"/>
  <c r="K98" i="1"/>
  <c r="K99" i="1"/>
  <c r="K100" i="1"/>
  <c r="K101" i="1"/>
  <c r="K92" i="1"/>
  <c r="J93" i="1"/>
  <c r="J94" i="1"/>
  <c r="J95" i="1"/>
  <c r="J96" i="1"/>
  <c r="J97" i="1"/>
  <c r="J98" i="1"/>
  <c r="J99" i="1"/>
  <c r="J100" i="1"/>
  <c r="J101" i="1"/>
  <c r="J92" i="1"/>
  <c r="I93" i="1"/>
  <c r="I94" i="1"/>
  <c r="I95" i="1"/>
  <c r="I96" i="1"/>
  <c r="I97" i="1"/>
  <c r="I98" i="1"/>
  <c r="I99" i="1"/>
  <c r="I100" i="1"/>
  <c r="I101" i="1"/>
  <c r="I92" i="1"/>
  <c r="K83" i="1"/>
  <c r="K84" i="1"/>
  <c r="K85" i="1"/>
  <c r="K86" i="1"/>
  <c r="K87" i="1"/>
  <c r="K88" i="1"/>
  <c r="K89" i="1"/>
  <c r="K90" i="1"/>
  <c r="K91" i="1"/>
  <c r="K82" i="1"/>
  <c r="J83" i="1"/>
  <c r="J84" i="1"/>
  <c r="J85" i="1"/>
  <c r="J86" i="1"/>
  <c r="J87" i="1"/>
  <c r="J88" i="1"/>
  <c r="J89" i="1"/>
  <c r="J90" i="1"/>
  <c r="J91" i="1"/>
  <c r="J82" i="1"/>
  <c r="I83" i="1"/>
  <c r="I84" i="1"/>
  <c r="I85" i="1"/>
  <c r="I86" i="1"/>
  <c r="I87" i="1"/>
  <c r="I88" i="1"/>
  <c r="I89" i="1"/>
  <c r="I90" i="1"/>
  <c r="I91" i="1"/>
  <c r="I82" i="1"/>
  <c r="K73" i="1" l="1"/>
  <c r="K74" i="1"/>
  <c r="K75" i="1"/>
  <c r="K76" i="1"/>
  <c r="K77" i="1"/>
  <c r="K78" i="1"/>
  <c r="K79" i="1"/>
  <c r="K80" i="1"/>
  <c r="K81" i="1"/>
  <c r="K72" i="1"/>
  <c r="J73" i="1"/>
  <c r="J74" i="1"/>
  <c r="J75" i="1"/>
  <c r="J76" i="1"/>
  <c r="J77" i="1"/>
  <c r="J78" i="1"/>
  <c r="J79" i="1"/>
  <c r="J80" i="1"/>
  <c r="J81" i="1"/>
  <c r="J72" i="1"/>
  <c r="I73" i="1"/>
  <c r="I74" i="1"/>
  <c r="I75" i="1"/>
  <c r="I76" i="1"/>
  <c r="I77" i="1"/>
  <c r="I78" i="1"/>
  <c r="I79" i="1"/>
  <c r="I80" i="1"/>
  <c r="I81" i="1"/>
  <c r="I72" i="1"/>
  <c r="K63" i="1" l="1"/>
  <c r="K64" i="1"/>
  <c r="K65" i="1"/>
  <c r="K66" i="1"/>
  <c r="K67" i="1"/>
  <c r="K68" i="1"/>
  <c r="K69" i="1"/>
  <c r="K70" i="1"/>
  <c r="K71" i="1"/>
  <c r="J63" i="1"/>
  <c r="J64" i="1"/>
  <c r="J65" i="1"/>
  <c r="J66" i="1"/>
  <c r="J67" i="1"/>
  <c r="J68" i="1"/>
  <c r="J69" i="1"/>
  <c r="J70" i="1"/>
  <c r="J71" i="1"/>
  <c r="I63" i="1"/>
  <c r="I64" i="1"/>
  <c r="I65" i="1"/>
  <c r="I66" i="1"/>
  <c r="I67" i="1"/>
  <c r="I68" i="1"/>
  <c r="I69" i="1"/>
  <c r="I70" i="1"/>
  <c r="K53" i="1" l="1"/>
  <c r="K54" i="1"/>
  <c r="K55" i="1"/>
  <c r="K56" i="1"/>
  <c r="K57" i="1"/>
  <c r="K58" i="1"/>
  <c r="K59" i="1"/>
  <c r="K60" i="1"/>
  <c r="K61" i="1"/>
  <c r="K52" i="1"/>
  <c r="J53" i="1"/>
  <c r="J54" i="1"/>
  <c r="J55" i="1"/>
  <c r="J56" i="1"/>
  <c r="J57" i="1"/>
  <c r="J58" i="1"/>
  <c r="J59" i="1"/>
  <c r="J60" i="1"/>
  <c r="J61" i="1"/>
  <c r="J52" i="1"/>
  <c r="I53" i="1"/>
  <c r="I54" i="1"/>
  <c r="I55" i="1"/>
  <c r="I56" i="1"/>
  <c r="I57" i="1"/>
  <c r="I58" i="1"/>
  <c r="I59" i="1"/>
  <c r="I60" i="1"/>
  <c r="I61" i="1"/>
  <c r="I52" i="1"/>
  <c r="K43" i="1" l="1"/>
  <c r="K44" i="1"/>
  <c r="K45" i="1"/>
  <c r="K46" i="1"/>
  <c r="K47" i="1"/>
  <c r="K48" i="1"/>
  <c r="K49" i="1"/>
  <c r="K50" i="1"/>
  <c r="K51" i="1"/>
  <c r="K42" i="1"/>
  <c r="J43" i="1"/>
  <c r="J44" i="1"/>
  <c r="J45" i="1"/>
  <c r="J46" i="1"/>
  <c r="J47" i="1"/>
  <c r="J48" i="1"/>
  <c r="J49" i="1"/>
  <c r="J50" i="1"/>
  <c r="J51" i="1"/>
  <c r="J42" i="1"/>
  <c r="I43" i="1"/>
  <c r="I44" i="1"/>
  <c r="I45" i="1"/>
  <c r="I46" i="1"/>
  <c r="I47" i="1"/>
  <c r="I48" i="1"/>
  <c r="I49" i="1"/>
  <c r="I50" i="1"/>
  <c r="I51" i="1"/>
  <c r="I42" i="1"/>
  <c r="K33" i="1" l="1"/>
  <c r="K34" i="1"/>
  <c r="K35" i="1"/>
  <c r="K36" i="1"/>
  <c r="K37" i="1"/>
  <c r="K38" i="1"/>
  <c r="K39" i="1"/>
  <c r="K40" i="1"/>
  <c r="K41" i="1"/>
  <c r="K32" i="1"/>
  <c r="J33" i="1"/>
  <c r="J34" i="1"/>
  <c r="J35" i="1"/>
  <c r="J36" i="1"/>
  <c r="J37" i="1"/>
  <c r="J38" i="1"/>
  <c r="J39" i="1"/>
  <c r="J40" i="1"/>
  <c r="J41" i="1"/>
  <c r="J32" i="1"/>
  <c r="I34" i="1"/>
  <c r="I32" i="1"/>
  <c r="I41" i="1"/>
  <c r="I40" i="1"/>
  <c r="I39" i="1"/>
  <c r="I38" i="1"/>
  <c r="I37" i="1"/>
  <c r="I36" i="1"/>
  <c r="I35" i="1"/>
  <c r="I33" i="1"/>
  <c r="K23" i="1" l="1"/>
  <c r="K24" i="1"/>
  <c r="K25" i="1"/>
  <c r="K26" i="1"/>
  <c r="K27" i="1"/>
  <c r="K28" i="1"/>
  <c r="K29" i="1"/>
  <c r="K30" i="1"/>
  <c r="K31" i="1"/>
  <c r="K22" i="1"/>
  <c r="J23" i="1"/>
  <c r="J24" i="1"/>
  <c r="J25" i="1"/>
  <c r="J26" i="1"/>
  <c r="J27" i="1"/>
  <c r="J28" i="1"/>
  <c r="J29" i="1"/>
  <c r="J30" i="1"/>
  <c r="J31" i="1"/>
  <c r="J22" i="1"/>
  <c r="I23" i="1"/>
  <c r="I24" i="1"/>
  <c r="I25" i="1"/>
  <c r="I26" i="1"/>
  <c r="I27" i="1"/>
  <c r="I28" i="1"/>
  <c r="I29" i="1"/>
  <c r="I30" i="1"/>
  <c r="I31" i="1"/>
  <c r="I22" i="1"/>
  <c r="K13" i="1" l="1"/>
  <c r="K14" i="1"/>
  <c r="K15" i="1"/>
  <c r="K16" i="1"/>
  <c r="K17" i="1"/>
  <c r="K18" i="1"/>
  <c r="K19" i="1"/>
  <c r="K20" i="1"/>
  <c r="K21" i="1"/>
  <c r="K12" i="1"/>
  <c r="I13" i="1"/>
  <c r="I14" i="1"/>
  <c r="I15" i="1"/>
  <c r="I16" i="1"/>
  <c r="I17" i="1"/>
  <c r="I18" i="1"/>
  <c r="I19" i="1"/>
  <c r="I20" i="1"/>
  <c r="I21" i="1"/>
  <c r="I12" i="1"/>
  <c r="J13" i="1"/>
  <c r="J14" i="1"/>
  <c r="J15" i="1"/>
  <c r="J16" i="1"/>
  <c r="J17" i="1"/>
  <c r="J18" i="1"/>
  <c r="J19" i="1"/>
  <c r="J20" i="1"/>
  <c r="J21" i="1"/>
  <c r="J12" i="1"/>
  <c r="J2" i="1" l="1"/>
  <c r="K2" i="1"/>
  <c r="K3" i="1"/>
  <c r="K4" i="1"/>
  <c r="K5" i="1"/>
  <c r="K6" i="1"/>
  <c r="K7" i="1"/>
  <c r="K8" i="1"/>
  <c r="K9" i="1"/>
  <c r="K10" i="1"/>
  <c r="K11" i="1"/>
  <c r="J3" i="1"/>
  <c r="J4" i="1"/>
  <c r="J5" i="1"/>
  <c r="J6" i="1"/>
  <c r="J7" i="1"/>
  <c r="J8" i="1"/>
  <c r="J9" i="1"/>
  <c r="J10" i="1"/>
  <c r="J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<sst xmlns="http://schemas.openxmlformats.org/spreadsheetml/2006/main" count="542" uniqueCount="58">
  <si>
    <t>Company</t>
  </si>
  <si>
    <t>Year</t>
  </si>
  <si>
    <t>Net Profit</t>
  </si>
  <si>
    <t>Sales</t>
  </si>
  <si>
    <t>Equity</t>
  </si>
  <si>
    <t>EPS</t>
  </si>
  <si>
    <t>D/E</t>
  </si>
  <si>
    <t>ROE</t>
  </si>
  <si>
    <t>NPM</t>
  </si>
  <si>
    <t>Infosys Ltd</t>
  </si>
  <si>
    <t>Tata Consultancy Services (TCS)</t>
  </si>
  <si>
    <t>Wipro Ltd</t>
  </si>
  <si>
    <t>State Bank of India (SBI)</t>
  </si>
  <si>
    <t>HDFC Bank</t>
  </si>
  <si>
    <t>ICICI Bank</t>
  </si>
  <si>
    <t>Hindustan Unilever Ltd (HUL)</t>
  </si>
  <si>
    <t>ITC Ltd</t>
  </si>
  <si>
    <t>Nestle India</t>
  </si>
  <si>
    <t>Reliance Industries Ltd (RIL)</t>
  </si>
  <si>
    <t>ONGC (Oil &amp; Natural Gas Corp)</t>
  </si>
  <si>
    <t>NTPC Ltd</t>
  </si>
  <si>
    <t>Tata Motors</t>
  </si>
  <si>
    <t>Mahindra &amp; Mahindra (M&amp;M)</t>
  </si>
  <si>
    <t>Maruti Suzuki</t>
  </si>
  <si>
    <t>Tata Steel</t>
  </si>
  <si>
    <t xml:space="preserve"> JSW Steel</t>
  </si>
  <si>
    <t>UltraTech Cement</t>
  </si>
  <si>
    <t xml:space="preserve"> Sun Pharma</t>
  </si>
  <si>
    <t>Dr. Reddy’s Laboratories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</si>
  <si>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</si>
  <si>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</si>
  <si>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</si>
  <si>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</si>
  <si>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</si>
  <si>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</si>
  <si>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</si>
  <si>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</si>
  <si>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</si>
  <si>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</si>
  <si>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</si>
  <si>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</si>
  <si>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</si>
  <si>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</si>
  <si>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</si>
  <si>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</si>
  <si>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</si>
  <si>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</si>
  <si>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</si>
  <si>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</si>
  <si>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</si>
  <si>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</si>
  <si>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</si>
  <si>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</si>
  <si>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Sl.No</t>
  </si>
  <si>
    <t>Total Debt(Long term borrowings)</t>
  </si>
  <si>
    <t>NPM(Y)</t>
  </si>
  <si>
    <t>NPM is Y</t>
  </si>
  <si>
    <t>Avg 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</si>
</sst>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2222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C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1" applyNumberFormat="1" applyFont="1" applyBorder="1"/>
    <xf numFmtId="43" fontId="0" fillId="0" borderId="0" xfId="0" applyNumberFormat="1"/>
    <xf numFmtId="2" fontId="0" fillId="0" borderId="0" xfId="0" applyNumberFormat="1"/>
    <xf numFmtId="164" fontId="0" fillId="0" borderId="0" xfId="0" applyNumberFormat="1"/>
    <xf numFmtId="43" fontId="0" fillId="0" borderId="1" xfId="0" applyNumberFormat="1" applyBorder="1"/>
    <xf numFmtId="1" fontId="2" fillId="0" borderId="0" xfId="1" applyNumberFormat="1" applyFont="1" applyBorder="1"/>
    <xf numFmtId="1" fontId="0" fillId="0" borderId="0" xfId="0" applyNumberFormat="1" applyAlignment="1">
      <alignment vertical="center"/>
    </xf>
    <xf numFmtId="1" fontId="0" fillId="0" borderId="0" xfId="0" applyNumberFormat="1"/>
    <xf numFmtId="0" fontId="1" fillId="0" borderId="0" xfId="0" applyFont="1"/>
    <xf numFmtId="2" fontId="3" fillId="0" borderId="3" xfId="0" applyNumberFormat="1" applyFont="1" applyBorder="1" applyAlignment="1">
      <alignment horizontal="centerContinuous"/>
    </xf>
    <xf numFmtId="2" fontId="0" fillId="0" borderId="2" xfId="0" applyNumberFormat="1" applyBorder="1"/>
    <xf numFmtId="2" fontId="3" fillId="0" borderId="3" xfId="0" applyNumberFormat="1" applyFont="1" applyBorder="1" applyAlignment="1">
      <alignment horizontal="center"/>
    </xf>
    <xf numFmtId="0" fontId="4" fillId="2" borderId="0" xfId="0" applyFont="1" applyFill="1" applyAlignment="1">
      <alignment horizontal="right" vertical="center" wrapText="1"/>
    </xf>
    <xf numFmtId="3" fontId="4" fillId="2" borderId="0" xfId="0" applyNumberFormat="1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17</xdr:col>
      <xdr:colOff>579120</xdr:colOff>
      <xdr:row>9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EFDC08-2C50-6508-988C-7B34959AF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5140" y="1478280"/>
          <a:ext cx="484632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UltraTech%20Cem.xlsx" TargetMode="External"/><Relationship Id="rId1" Type="http://schemas.openxmlformats.org/officeDocument/2006/relationships/externalLinkPath" Target="file:///C:\Users\Asus\Downloads\UltraTech%20Ce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Sun%20Pharma.Inds.xlsx" TargetMode="External"/><Relationship Id="rId1" Type="http://schemas.openxmlformats.org/officeDocument/2006/relationships/externalLinkPath" Target="file:///C:\Users\Asus\Downloads\Sun%20Pharma.Ind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Dr%20Reddy's%20Labs.xlsx" TargetMode="External"/><Relationship Id="rId1" Type="http://schemas.openxmlformats.org/officeDocument/2006/relationships/externalLinkPath" Target="file:///C:\Users\Asus\Downloads\Dr%20Reddy's%20Lab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>
        <row r="11">
          <cell r="B11"/>
          <cell r="C11"/>
          <cell r="D11"/>
          <cell r="E11"/>
          <cell r="F11"/>
          <cell r="G11"/>
          <cell r="H11"/>
          <cell r="I11"/>
          <cell r="J11"/>
          <cell r="K11"/>
        </row>
        <row r="12">
          <cell r="B12"/>
          <cell r="C12"/>
          <cell r="D12"/>
          <cell r="E12"/>
          <cell r="F12"/>
          <cell r="G12"/>
          <cell r="H12"/>
          <cell r="I12"/>
          <cell r="J12"/>
          <cell r="K12"/>
        </row>
      </sheetData>
      <sheetData sheetId="1"/>
      <sheetData sheetId="2">
        <row r="4">
          <cell r="I4"/>
          <cell r="J4"/>
        </row>
        <row r="5">
          <cell r="I5"/>
          <cell r="J5"/>
        </row>
        <row r="6">
          <cell r="I6"/>
          <cell r="J6"/>
        </row>
        <row r="7">
          <cell r="I7"/>
          <cell r="J7"/>
        </row>
        <row r="8">
          <cell r="I8"/>
          <cell r="J8"/>
        </row>
        <row r="9">
          <cell r="I9"/>
          <cell r="J9"/>
        </row>
        <row r="10">
          <cell r="I10"/>
          <cell r="J10"/>
        </row>
        <row r="11">
          <cell r="I11"/>
          <cell r="J11"/>
        </row>
        <row r="12">
          <cell r="I12"/>
          <cell r="J12"/>
        </row>
        <row r="13">
          <cell r="I13"/>
          <cell r="J13"/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5D12-79F4-4DBE-9E4B-1D8F921F62B4}">
  <dimension ref="A1:X201"/>
  <sheetViews>
    <sheetView tabSelected="1" zoomScale="96" zoomScaleNormal="96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2" max="2" width="30.33203125" bestFit="1" customWidth="1"/>
    <col min="4" max="4" width="10.5546875" bestFit="1" customWidth="1"/>
    <col min="5" max="5" width="12.21875" bestFit="1" customWidth="1"/>
    <col min="6" max="6" width="12.21875" customWidth="1"/>
    <col min="7" max="7" width="10.88671875" customWidth="1"/>
  </cols>
  <sheetData>
    <row r="1" spans="1:23" ht="58.2" thickBot="1" x14ac:dyDescent="0.35">
      <c r="A1" s="11" t="s">
        <v>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57</v>
      </c>
    </row>
    <row r="2" spans="1:23" ht="15" thickBot="1" x14ac:dyDescent="0.35">
      <c r="A2">
        <v>1</v>
      </c>
      <c r="B2" s="2" t="s">
        <v>9</v>
      </c>
      <c r="C2" s="2">
        <v>2016</v>
      </c>
      <c r="D2" s="3">
        <v>13489</v>
      </c>
      <c r="E2">
        <v>62441</v>
      </c>
      <c r="F2" s="2">
        <v>0</v>
      </c>
      <c r="G2" s="4">
        <v>61744</v>
      </c>
      <c r="H2" s="4">
        <v>29.36</v>
      </c>
      <c r="I2" s="7">
        <f>F2/G2</f>
        <v>0</v>
      </c>
      <c r="J2" s="4">
        <f>D2/G2</f>
        <v>0.2184665716506867</v>
      </c>
      <c r="K2" s="5">
        <f>(D2/E2)*100</f>
        <v>21.602793036626576</v>
      </c>
      <c r="L2" s="4">
        <f>AVERAGE(J2:J11)</f>
        <v>0.26070492312677879</v>
      </c>
    </row>
    <row r="3" spans="1:23" ht="15" thickBot="1" x14ac:dyDescent="0.35">
      <c r="B3" s="2" t="s">
        <v>9</v>
      </c>
      <c r="C3" s="2">
        <v>2017</v>
      </c>
      <c r="D3" s="3">
        <v>14353</v>
      </c>
      <c r="E3" s="3">
        <v>68484</v>
      </c>
      <c r="F3" s="2">
        <v>0</v>
      </c>
      <c r="G3" s="4">
        <v>68982</v>
      </c>
      <c r="H3" s="4">
        <v>31.24</v>
      </c>
      <c r="I3" s="7">
        <f t="shared" ref="I3:I11" si="0">F3/G3</f>
        <v>0</v>
      </c>
      <c r="J3" s="4">
        <f t="shared" ref="J3:J11" si="1">D3/G3</f>
        <v>0.20806877156359629</v>
      </c>
      <c r="K3" s="5">
        <f t="shared" ref="K3:K11" si="2">(D3/E3)*100</f>
        <v>20.958180012849716</v>
      </c>
    </row>
    <row r="4" spans="1:23" ht="15" thickBot="1" x14ac:dyDescent="0.35">
      <c r="B4" s="2" t="s">
        <v>9</v>
      </c>
      <c r="C4" s="2">
        <v>2018</v>
      </c>
      <c r="D4" s="3">
        <v>16029</v>
      </c>
      <c r="E4" s="3">
        <v>70522</v>
      </c>
      <c r="F4" s="2">
        <v>0</v>
      </c>
      <c r="G4" s="4">
        <v>64923</v>
      </c>
      <c r="H4" s="4">
        <v>36.69</v>
      </c>
      <c r="I4" s="7">
        <f t="shared" si="0"/>
        <v>0</v>
      </c>
      <c r="J4" s="4">
        <f t="shared" si="1"/>
        <v>0.24689247262141306</v>
      </c>
      <c r="K4" s="5">
        <f t="shared" si="2"/>
        <v>22.729077451008195</v>
      </c>
    </row>
    <row r="5" spans="1:23" ht="15" thickBot="1" x14ac:dyDescent="0.35">
      <c r="B5" s="2" t="s">
        <v>9</v>
      </c>
      <c r="C5" s="2">
        <v>2019</v>
      </c>
      <c r="D5" s="3">
        <v>15404</v>
      </c>
      <c r="E5" s="3">
        <v>82675</v>
      </c>
      <c r="F5" s="2">
        <v>0</v>
      </c>
      <c r="G5" s="4">
        <v>64948</v>
      </c>
      <c r="H5" s="4">
        <v>35.26</v>
      </c>
      <c r="I5" s="7">
        <f t="shared" si="0"/>
        <v>0</v>
      </c>
      <c r="J5" s="4">
        <f t="shared" si="1"/>
        <v>0.23717435486851018</v>
      </c>
      <c r="K5" s="5">
        <f t="shared" si="2"/>
        <v>18.63199274266707</v>
      </c>
    </row>
    <row r="6" spans="1:23" ht="15" thickBot="1" x14ac:dyDescent="0.35">
      <c r="B6" s="2" t="s">
        <v>9</v>
      </c>
      <c r="C6" s="2">
        <v>2020</v>
      </c>
      <c r="D6" s="3">
        <v>16594</v>
      </c>
      <c r="E6" s="3">
        <v>90791</v>
      </c>
      <c r="F6" s="2">
        <v>0</v>
      </c>
      <c r="G6" s="4">
        <v>65450</v>
      </c>
      <c r="H6" s="4">
        <v>38.96</v>
      </c>
      <c r="I6" s="7">
        <f t="shared" si="0"/>
        <v>0</v>
      </c>
      <c r="J6" s="4">
        <f t="shared" si="1"/>
        <v>0.25353705118411002</v>
      </c>
      <c r="K6" s="5">
        <f t="shared" si="2"/>
        <v>18.277142007467699</v>
      </c>
    </row>
    <row r="7" spans="1:23" ht="15" thickBot="1" x14ac:dyDescent="0.35">
      <c r="B7" s="2" t="s">
        <v>9</v>
      </c>
      <c r="C7" s="2">
        <v>2021</v>
      </c>
      <c r="D7" s="3">
        <v>19351</v>
      </c>
      <c r="E7" s="3">
        <v>100472</v>
      </c>
      <c r="F7" s="2">
        <v>0</v>
      </c>
      <c r="G7" s="4">
        <v>76351</v>
      </c>
      <c r="H7" s="4">
        <v>45.42</v>
      </c>
      <c r="I7" s="7">
        <f t="shared" si="0"/>
        <v>0</v>
      </c>
      <c r="J7" s="4">
        <f t="shared" si="1"/>
        <v>0.2534478919726002</v>
      </c>
      <c r="K7" s="5">
        <f t="shared" si="2"/>
        <v>19.260092364041721</v>
      </c>
    </row>
    <row r="8" spans="1:23" ht="15" thickBot="1" x14ac:dyDescent="0.35">
      <c r="B8" s="2" t="s">
        <v>9</v>
      </c>
      <c r="C8" s="2">
        <v>2022</v>
      </c>
      <c r="D8" s="3">
        <v>22110</v>
      </c>
      <c r="E8" s="3">
        <v>121641</v>
      </c>
      <c r="F8" s="2">
        <v>0</v>
      </c>
      <c r="G8" s="4">
        <v>75350</v>
      </c>
      <c r="H8" s="4">
        <v>52.56</v>
      </c>
      <c r="I8" s="7">
        <f t="shared" si="0"/>
        <v>0</v>
      </c>
      <c r="J8" s="4">
        <f t="shared" si="1"/>
        <v>0.29343065693430659</v>
      </c>
      <c r="K8" s="5">
        <f t="shared" si="2"/>
        <v>18.176437221002786</v>
      </c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" thickBot="1" x14ac:dyDescent="0.35">
      <c r="B9" s="2" t="s">
        <v>9</v>
      </c>
      <c r="C9" s="2">
        <v>2023</v>
      </c>
      <c r="D9" s="3">
        <v>24095</v>
      </c>
      <c r="E9" s="3">
        <v>146767</v>
      </c>
      <c r="F9" s="2">
        <v>0</v>
      </c>
      <c r="G9" s="4">
        <v>75407</v>
      </c>
      <c r="H9" s="4">
        <v>58.08</v>
      </c>
      <c r="I9" s="7">
        <f t="shared" si="0"/>
        <v>0</v>
      </c>
      <c r="J9" s="4">
        <f t="shared" si="1"/>
        <v>0.31953266938082669</v>
      </c>
      <c r="K9" s="5">
        <f t="shared" si="2"/>
        <v>16.417178248516358</v>
      </c>
    </row>
    <row r="10" spans="1:23" ht="15" thickBot="1" x14ac:dyDescent="0.35">
      <c r="B10" s="2" t="s">
        <v>9</v>
      </c>
      <c r="C10" s="2">
        <v>2024</v>
      </c>
      <c r="D10" s="3">
        <v>26233</v>
      </c>
      <c r="E10" s="3">
        <v>153670</v>
      </c>
      <c r="F10" s="2">
        <v>0</v>
      </c>
      <c r="G10" s="4">
        <v>88116</v>
      </c>
      <c r="H10" s="4">
        <v>63.2</v>
      </c>
      <c r="I10" s="7">
        <f t="shared" si="0"/>
        <v>0</v>
      </c>
      <c r="J10" s="4">
        <f t="shared" si="1"/>
        <v>0.29770983703300197</v>
      </c>
      <c r="K10" s="5">
        <f t="shared" si="2"/>
        <v>17.070996290752912</v>
      </c>
    </row>
    <row r="11" spans="1:23" x14ac:dyDescent="0.3">
      <c r="B11" s="2" t="s">
        <v>9</v>
      </c>
      <c r="C11" s="2">
        <v>2025</v>
      </c>
      <c r="D11" s="3">
        <v>26713</v>
      </c>
      <c r="E11" s="3">
        <v>162990</v>
      </c>
      <c r="F11" s="2">
        <v>0</v>
      </c>
      <c r="G11" s="4">
        <v>95818</v>
      </c>
      <c r="H11" s="4">
        <v>64.319999999999993</v>
      </c>
      <c r="I11" s="7">
        <f t="shared" si="0"/>
        <v>0</v>
      </c>
      <c r="J11" s="4">
        <f t="shared" si="1"/>
        <v>0.27878895405873633</v>
      </c>
      <c r="K11" s="5">
        <f t="shared" si="2"/>
        <v>16.389349039818395</v>
      </c>
    </row>
    <row r="12" spans="1:23" x14ac:dyDescent="0.3">
      <c r="A12">
        <v>2</v>
      </c>
      <c r="B12" s="2" t="s">
        <v>10</v>
      </c>
      <c r="C12" s="2">
        <v>2016</v>
      </c>
      <c r="D12" s="3">
        <v>24270</v>
      </c>
      <c r="E12" s="3">
        <v>108646</v>
      </c>
      <c r="F12" s="3">
        <v>83</v>
      </c>
      <c r="G12" s="6">
        <v>71072</v>
      </c>
      <c r="H12" s="5">
        <v>61.584917150904623</v>
      </c>
      <c r="I12" s="4">
        <f>F12/G12</f>
        <v>1.1678298063935164E-3</v>
      </c>
      <c r="J12" s="4">
        <f t="shared" ref="J12:J22" si="3">D12/G12</f>
        <v>0.3414846915803692</v>
      </c>
      <c r="K12" s="5">
        <f>(D12/E12)*100</f>
        <v>22.338604274432562</v>
      </c>
      <c r="L12" s="4">
        <f>AVERAGE(J12:J21)</f>
        <v>0.39770781476178679</v>
      </c>
    </row>
    <row r="13" spans="1:23" x14ac:dyDescent="0.3">
      <c r="B13" s="2" t="s">
        <v>10</v>
      </c>
      <c r="C13" s="2">
        <v>2017</v>
      </c>
      <c r="D13" s="3">
        <v>26289</v>
      </c>
      <c r="E13" s="3">
        <v>117966</v>
      </c>
      <c r="F13" s="3">
        <v>71</v>
      </c>
      <c r="G13" s="6">
        <v>86214</v>
      </c>
      <c r="H13" s="5">
        <v>66.708112360120793</v>
      </c>
      <c r="I13" s="4">
        <f t="shared" ref="I13:I21" si="4">F13/G13</f>
        <v>8.2353214095158556E-4</v>
      </c>
      <c r="J13" s="4">
        <f t="shared" si="3"/>
        <v>0.30492727399262298</v>
      </c>
      <c r="K13" s="5">
        <f t="shared" ref="K13:K21" si="5">(D13/E13)*100</f>
        <v>22.285234728650629</v>
      </c>
    </row>
    <row r="14" spans="1:23" x14ac:dyDescent="0.3">
      <c r="B14" s="2" t="s">
        <v>10</v>
      </c>
      <c r="C14" s="2">
        <v>2018</v>
      </c>
      <c r="D14" s="3">
        <v>25826</v>
      </c>
      <c r="E14" s="3">
        <v>123104</v>
      </c>
      <c r="F14" s="3">
        <v>54</v>
      </c>
      <c r="G14" s="6">
        <v>85128</v>
      </c>
      <c r="H14" s="5">
        <v>67.455466750248135</v>
      </c>
      <c r="I14" s="4">
        <f t="shared" si="4"/>
        <v>6.3433887792500702E-4</v>
      </c>
      <c r="J14" s="4">
        <f t="shared" si="3"/>
        <v>0.30337844187576357</v>
      </c>
      <c r="K14" s="5">
        <f t="shared" si="5"/>
        <v>20.979009617884063</v>
      </c>
    </row>
    <row r="15" spans="1:23" x14ac:dyDescent="0.3">
      <c r="B15" s="2" t="s">
        <v>10</v>
      </c>
      <c r="C15" s="2">
        <v>2019</v>
      </c>
      <c r="D15" s="3">
        <v>31472</v>
      </c>
      <c r="E15" s="3">
        <v>146463</v>
      </c>
      <c r="F15" s="3">
        <v>44</v>
      </c>
      <c r="G15" s="6">
        <v>89446</v>
      </c>
      <c r="H15" s="5">
        <v>83.871655473830074</v>
      </c>
      <c r="I15" s="4">
        <f t="shared" si="4"/>
        <v>4.9191691076180041E-4</v>
      </c>
      <c r="J15" s="4">
        <f t="shared" si="3"/>
        <v>0.35185475035216779</v>
      </c>
      <c r="K15" s="5">
        <f t="shared" si="5"/>
        <v>21.488020865338004</v>
      </c>
    </row>
    <row r="16" spans="1:23" x14ac:dyDescent="0.3">
      <c r="B16" s="2" t="s">
        <v>10</v>
      </c>
      <c r="C16" s="2">
        <v>2020</v>
      </c>
      <c r="D16" s="3">
        <v>32340</v>
      </c>
      <c r="E16" s="3">
        <v>156949</v>
      </c>
      <c r="F16" s="3">
        <v>0</v>
      </c>
      <c r="G16" s="6">
        <v>84126</v>
      </c>
      <c r="H16" s="5">
        <v>86.184841701311157</v>
      </c>
      <c r="I16" s="4">
        <f t="shared" si="4"/>
        <v>0</v>
      </c>
      <c r="J16" s="4">
        <f t="shared" si="3"/>
        <v>0.38442336495257112</v>
      </c>
      <c r="K16" s="5">
        <f t="shared" si="5"/>
        <v>20.605419594900255</v>
      </c>
    </row>
    <row r="17" spans="1:22" x14ac:dyDescent="0.3">
      <c r="B17" s="2" t="s">
        <v>10</v>
      </c>
      <c r="C17" s="2">
        <v>2021</v>
      </c>
      <c r="D17" s="3">
        <v>32430</v>
      </c>
      <c r="E17" s="3">
        <v>164177</v>
      </c>
      <c r="F17" s="3">
        <v>0</v>
      </c>
      <c r="G17" s="6">
        <v>86433</v>
      </c>
      <c r="H17" s="5">
        <v>87.669973777405303</v>
      </c>
      <c r="I17" s="4">
        <f t="shared" si="4"/>
        <v>0</v>
      </c>
      <c r="J17" s="4">
        <f t="shared" si="3"/>
        <v>0.37520391517128876</v>
      </c>
      <c r="K17" s="5">
        <f t="shared" si="5"/>
        <v>19.753071380278602</v>
      </c>
      <c r="M17" s="16"/>
      <c r="N17" s="16"/>
      <c r="O17" s="16"/>
      <c r="P17" s="16"/>
      <c r="Q17" s="15"/>
      <c r="R17" s="15"/>
      <c r="S17" s="16"/>
      <c r="T17" s="16"/>
      <c r="U17" s="16"/>
      <c r="V17" s="16"/>
    </row>
    <row r="18" spans="1:22" x14ac:dyDescent="0.3">
      <c r="B18" s="2" t="s">
        <v>10</v>
      </c>
      <c r="C18" s="2">
        <v>2022</v>
      </c>
      <c r="D18" s="3">
        <v>38327</v>
      </c>
      <c r="E18" s="3">
        <v>191754</v>
      </c>
      <c r="F18" s="3">
        <v>0</v>
      </c>
      <c r="G18" s="6">
        <v>89139</v>
      </c>
      <c r="H18" s="5">
        <v>104.74433603891667</v>
      </c>
      <c r="I18" s="4">
        <f t="shared" si="4"/>
        <v>0</v>
      </c>
      <c r="J18" s="4">
        <f t="shared" si="3"/>
        <v>0.42996892493745725</v>
      </c>
      <c r="K18" s="5">
        <f t="shared" si="5"/>
        <v>19.987588264130082</v>
      </c>
    </row>
    <row r="19" spans="1:22" x14ac:dyDescent="0.3">
      <c r="B19" s="2" t="s">
        <v>10</v>
      </c>
      <c r="C19" s="2">
        <v>2023</v>
      </c>
      <c r="D19" s="3">
        <v>42147</v>
      </c>
      <c r="E19" s="3">
        <v>225458</v>
      </c>
      <c r="F19" s="3">
        <v>0</v>
      </c>
      <c r="G19" s="6">
        <v>90424</v>
      </c>
      <c r="H19" s="5">
        <v>115.1840616545052</v>
      </c>
      <c r="I19" s="4">
        <f t="shared" si="4"/>
        <v>0</v>
      </c>
      <c r="J19" s="4">
        <f t="shared" si="3"/>
        <v>0.46610413164646552</v>
      </c>
      <c r="K19" s="5">
        <f t="shared" si="5"/>
        <v>18.693947431450646</v>
      </c>
    </row>
    <row r="20" spans="1:22" x14ac:dyDescent="0.3">
      <c r="B20" s="2" t="s">
        <v>10</v>
      </c>
      <c r="C20" s="2">
        <v>2024</v>
      </c>
      <c r="D20" s="3">
        <v>45908</v>
      </c>
      <c r="E20" s="3">
        <v>240893</v>
      </c>
      <c r="F20" s="3">
        <v>0</v>
      </c>
      <c r="G20" s="6">
        <v>90489</v>
      </c>
      <c r="H20" s="5">
        <v>126.88427627760427</v>
      </c>
      <c r="I20" s="4">
        <f t="shared" si="4"/>
        <v>0</v>
      </c>
      <c r="J20" s="4">
        <f t="shared" si="3"/>
        <v>0.50733238294157301</v>
      </c>
      <c r="K20" s="5">
        <f t="shared" si="5"/>
        <v>19.057423835478822</v>
      </c>
    </row>
    <row r="21" spans="1:22" x14ac:dyDescent="0.3">
      <c r="B21" s="2" t="s">
        <v>10</v>
      </c>
      <c r="C21" s="2">
        <v>2025</v>
      </c>
      <c r="D21" s="3">
        <v>48553</v>
      </c>
      <c r="E21" s="3">
        <v>255324</v>
      </c>
      <c r="F21" s="3">
        <v>0</v>
      </c>
      <c r="G21" s="6">
        <v>94756</v>
      </c>
      <c r="H21" s="5">
        <v>134.1947430972057</v>
      </c>
      <c r="I21" s="4">
        <f t="shared" si="4"/>
        <v>0</v>
      </c>
      <c r="J21" s="4">
        <f t="shared" si="3"/>
        <v>0.51240027016758838</v>
      </c>
      <c r="K21" s="5">
        <f t="shared" si="5"/>
        <v>19.01623035828986</v>
      </c>
    </row>
    <row r="22" spans="1:22" x14ac:dyDescent="0.3">
      <c r="A22">
        <v>3</v>
      </c>
      <c r="B22" s="2" t="s">
        <v>11</v>
      </c>
      <c r="C22" s="2">
        <v>2016</v>
      </c>
      <c r="D22" s="8">
        <v>8907.9</v>
      </c>
      <c r="E22" s="8">
        <v>51244</v>
      </c>
      <c r="F22" s="3">
        <v>1736</v>
      </c>
      <c r="G22" s="6">
        <v>46144.799999999996</v>
      </c>
      <c r="H22" s="5">
        <v>6.7601882067238366</v>
      </c>
      <c r="I22" s="4">
        <f>F22/G22</f>
        <v>3.762070699190375E-2</v>
      </c>
      <c r="J22" s="4">
        <f t="shared" si="3"/>
        <v>0.1930423362979144</v>
      </c>
      <c r="K22" s="5">
        <f>(D22/E22)*100</f>
        <v>17.38330341113106</v>
      </c>
      <c r="L22" s="4">
        <f>AVERAGE(J22:J31)</f>
        <v>0.16953609283684337</v>
      </c>
    </row>
    <row r="23" spans="1:22" x14ac:dyDescent="0.3">
      <c r="B23" s="2" t="s">
        <v>11</v>
      </c>
      <c r="C23" s="2">
        <v>2017</v>
      </c>
      <c r="D23" s="8">
        <v>8493.1</v>
      </c>
      <c r="E23" s="8">
        <v>55448.4</v>
      </c>
      <c r="F23" s="3">
        <v>1961</v>
      </c>
      <c r="G23" s="6">
        <v>51670.2</v>
      </c>
      <c r="H23" s="5">
        <v>6.5508916450697274</v>
      </c>
      <c r="I23" s="4">
        <f t="shared" ref="I23:I31" si="6">F23/G23</f>
        <v>3.7952243265944395E-2</v>
      </c>
      <c r="J23" s="4">
        <f t="shared" ref="J23:J31" si="7">D23/G23</f>
        <v>0.1643713397664418</v>
      </c>
      <c r="K23" s="5">
        <f t="shared" ref="K23:K31" si="8">(D23/E23)*100</f>
        <v>15.31712366813109</v>
      </c>
    </row>
    <row r="24" spans="1:22" x14ac:dyDescent="0.3">
      <c r="B24" s="2" t="s">
        <v>11</v>
      </c>
      <c r="C24" s="2">
        <v>2018</v>
      </c>
      <c r="D24" s="8">
        <v>8002.8</v>
      </c>
      <c r="E24" s="8">
        <v>54487.1</v>
      </c>
      <c r="F24" s="3">
        <v>4527</v>
      </c>
      <c r="G24" s="6">
        <v>47926.3</v>
      </c>
      <c r="H24" s="5">
        <v>6.6338956355949774</v>
      </c>
      <c r="I24" s="4">
        <f t="shared" si="6"/>
        <v>9.4457531668415876E-2</v>
      </c>
      <c r="J24" s="4">
        <f t="shared" si="7"/>
        <v>0.16698138600309223</v>
      </c>
      <c r="K24" s="5">
        <f t="shared" si="8"/>
        <v>14.687513191195714</v>
      </c>
    </row>
    <row r="25" spans="1:22" x14ac:dyDescent="0.3">
      <c r="B25" s="2" t="s">
        <v>11</v>
      </c>
      <c r="C25" s="2">
        <v>2019</v>
      </c>
      <c r="D25" s="8">
        <v>9003.7000000000007</v>
      </c>
      <c r="E25" s="8">
        <v>59018.9</v>
      </c>
      <c r="F25" s="3">
        <v>2837</v>
      </c>
      <c r="G25" s="6">
        <v>56422.600000000006</v>
      </c>
      <c r="H25" s="5">
        <v>7.4608672594237611</v>
      </c>
      <c r="I25" s="4">
        <f t="shared" si="6"/>
        <v>5.0281270271132487E-2</v>
      </c>
      <c r="J25" s="4">
        <f t="shared" si="7"/>
        <v>0.15957612729650883</v>
      </c>
      <c r="K25" s="5">
        <f t="shared" si="8"/>
        <v>15.255621504297775</v>
      </c>
    </row>
    <row r="26" spans="1:22" x14ac:dyDescent="0.3">
      <c r="B26" s="2" t="s">
        <v>11</v>
      </c>
      <c r="C26" s="2">
        <v>2020</v>
      </c>
      <c r="D26" s="8">
        <v>9722.2999999999993</v>
      </c>
      <c r="E26" s="8">
        <v>61137.599999999999</v>
      </c>
      <c r="F26" s="3">
        <v>484</v>
      </c>
      <c r="G26" s="6">
        <v>55321.7</v>
      </c>
      <c r="H26" s="5">
        <v>8.5084057514417974</v>
      </c>
      <c r="I26" s="4">
        <f t="shared" si="6"/>
        <v>8.7488273136942657E-3</v>
      </c>
      <c r="J26" s="4">
        <f t="shared" si="7"/>
        <v>0.17574116485935898</v>
      </c>
      <c r="K26" s="5">
        <f t="shared" si="8"/>
        <v>15.902325246656721</v>
      </c>
    </row>
    <row r="27" spans="1:22" x14ac:dyDescent="0.3">
      <c r="B27" s="2" t="s">
        <v>11</v>
      </c>
      <c r="C27" s="2">
        <v>2021</v>
      </c>
      <c r="D27" s="8">
        <v>10796.4</v>
      </c>
      <c r="E27" s="8">
        <v>61934.9</v>
      </c>
      <c r="F27" s="3">
        <v>746</v>
      </c>
      <c r="G27" s="6">
        <v>54901</v>
      </c>
      <c r="H27" s="5">
        <v>9.8522581057280778</v>
      </c>
      <c r="I27" s="4">
        <f t="shared" si="6"/>
        <v>1.3588094934518498E-2</v>
      </c>
      <c r="J27" s="4">
        <f t="shared" si="7"/>
        <v>0.196652155698439</v>
      </c>
      <c r="K27" s="5">
        <f t="shared" si="8"/>
        <v>17.431851831519868</v>
      </c>
    </row>
    <row r="28" spans="1:22" x14ac:dyDescent="0.3">
      <c r="B28" s="2" t="s">
        <v>11</v>
      </c>
      <c r="C28" s="2">
        <v>2022</v>
      </c>
      <c r="D28" s="8">
        <v>12229.6</v>
      </c>
      <c r="E28" s="8">
        <v>79312</v>
      </c>
      <c r="F28" s="3">
        <v>5646</v>
      </c>
      <c r="G28" s="6">
        <v>65403</v>
      </c>
      <c r="H28" s="5">
        <v>11.154221504729071</v>
      </c>
      <c r="I28" s="4">
        <f t="shared" si="6"/>
        <v>8.6326315306637313E-2</v>
      </c>
      <c r="J28" s="4">
        <f t="shared" si="7"/>
        <v>0.18698836444811401</v>
      </c>
      <c r="K28" s="5">
        <f t="shared" si="8"/>
        <v>15.419608634254589</v>
      </c>
    </row>
    <row r="29" spans="1:22" x14ac:dyDescent="0.3">
      <c r="B29" s="2" t="s">
        <v>11</v>
      </c>
      <c r="C29" s="2">
        <v>2023</v>
      </c>
      <c r="D29" s="8">
        <v>11350</v>
      </c>
      <c r="E29" s="8">
        <v>90487.6</v>
      </c>
      <c r="F29" s="3">
        <v>6127</v>
      </c>
      <c r="G29" s="6">
        <v>77667.900000000009</v>
      </c>
      <c r="H29" s="5">
        <v>10.340931868292062</v>
      </c>
      <c r="I29" s="4">
        <f t="shared" si="6"/>
        <v>7.888715930262051E-2</v>
      </c>
      <c r="J29" s="4">
        <f t="shared" si="7"/>
        <v>0.14613501845678845</v>
      </c>
      <c r="K29" s="5">
        <f t="shared" si="8"/>
        <v>12.543155084232534</v>
      </c>
    </row>
    <row r="30" spans="1:22" x14ac:dyDescent="0.3">
      <c r="B30" s="2" t="s">
        <v>11</v>
      </c>
      <c r="C30" s="2">
        <v>2024</v>
      </c>
      <c r="D30" s="8">
        <v>11045.2</v>
      </c>
      <c r="E30" s="8">
        <v>89760.3</v>
      </c>
      <c r="F30" s="3">
        <v>6230</v>
      </c>
      <c r="G30" s="6">
        <v>74988.3</v>
      </c>
      <c r="H30" s="5">
        <v>10.569265954087443</v>
      </c>
      <c r="I30" s="4">
        <f t="shared" si="6"/>
        <v>8.3079627088492466E-2</v>
      </c>
      <c r="J30" s="4">
        <f t="shared" si="7"/>
        <v>0.14729231093383902</v>
      </c>
      <c r="K30" s="5">
        <f t="shared" si="8"/>
        <v>12.305217339959871</v>
      </c>
    </row>
    <row r="31" spans="1:22" x14ac:dyDescent="0.3">
      <c r="B31" s="2" t="s">
        <v>11</v>
      </c>
      <c r="C31" s="2">
        <v>2025</v>
      </c>
      <c r="D31" s="8">
        <v>13135.4</v>
      </c>
      <c r="E31" s="9">
        <v>89088.4</v>
      </c>
      <c r="F31" s="3">
        <v>6395</v>
      </c>
      <c r="G31">
        <v>82831</v>
      </c>
      <c r="H31" s="5">
        <v>12.543233926337601</v>
      </c>
      <c r="I31" s="4">
        <f t="shared" si="6"/>
        <v>7.7205394115729617E-2</v>
      </c>
      <c r="J31" s="4">
        <f t="shared" si="7"/>
        <v>0.15858072460793662</v>
      </c>
      <c r="K31" s="5">
        <f t="shared" si="8"/>
        <v>14.744231572236115</v>
      </c>
    </row>
    <row r="32" spans="1:22" x14ac:dyDescent="0.3">
      <c r="A32">
        <v>4</v>
      </c>
      <c r="B32" s="2" t="s">
        <v>12</v>
      </c>
      <c r="C32" s="2">
        <v>2016</v>
      </c>
      <c r="D32" s="8">
        <v>12224.6</v>
      </c>
      <c r="E32" s="8">
        <v>220632.75</v>
      </c>
      <c r="F32" s="10">
        <v>0</v>
      </c>
      <c r="G32" s="6">
        <v>180592.37</v>
      </c>
      <c r="H32" s="5">
        <v>15.747668367084042</v>
      </c>
      <c r="I32" s="4">
        <f>F32/G32</f>
        <v>0</v>
      </c>
      <c r="J32" s="4">
        <f>D32/G32</f>
        <v>6.7691674902987317E-2</v>
      </c>
      <c r="K32" s="5">
        <f>(D32/E32)*100</f>
        <v>5.5407005532950118</v>
      </c>
      <c r="L32" s="4">
        <f>AVERAGE(J32:J41)</f>
        <v>8.3037504236399329E-2</v>
      </c>
    </row>
    <row r="33" spans="1:12" x14ac:dyDescent="0.3">
      <c r="B33" s="2" t="s">
        <v>12</v>
      </c>
      <c r="C33" s="2">
        <v>2017</v>
      </c>
      <c r="D33" s="8">
        <v>241.23</v>
      </c>
      <c r="E33" s="8">
        <v>230447.1</v>
      </c>
      <c r="F33" s="10">
        <v>0</v>
      </c>
      <c r="G33" s="6">
        <v>217192.15</v>
      </c>
      <c r="H33" s="5">
        <v>0.30253966263247006</v>
      </c>
      <c r="I33" s="4">
        <f t="shared" ref="I33:I41" si="9">F33/G33</f>
        <v>0</v>
      </c>
      <c r="J33" s="4">
        <f t="shared" ref="J33:J41" si="10">D33/G33</f>
        <v>1.11067550093316E-3</v>
      </c>
      <c r="K33" s="5">
        <f t="shared" ref="K33:K41" si="11">(D33/E33)*100</f>
        <v>0.10467912158582163</v>
      </c>
    </row>
    <row r="34" spans="1:12" x14ac:dyDescent="0.3">
      <c r="B34" s="2" t="s">
        <v>12</v>
      </c>
      <c r="C34" s="2">
        <v>2018</v>
      </c>
      <c r="D34" s="8">
        <v>0</v>
      </c>
      <c r="E34" s="8">
        <v>228970.28</v>
      </c>
      <c r="F34" s="10">
        <v>0</v>
      </c>
      <c r="G34" s="6">
        <v>230321.94999999998</v>
      </c>
      <c r="H34" s="5">
        <v>-5.1053156443986278</v>
      </c>
      <c r="I34" s="4">
        <f t="shared" si="9"/>
        <v>0</v>
      </c>
      <c r="J34" s="4">
        <f t="shared" si="10"/>
        <v>0</v>
      </c>
      <c r="K34" s="5">
        <f t="shared" si="11"/>
        <v>0</v>
      </c>
    </row>
    <row r="35" spans="1:12" x14ac:dyDescent="0.3">
      <c r="B35" s="2" t="s">
        <v>12</v>
      </c>
      <c r="C35" s="2">
        <v>2019</v>
      </c>
      <c r="D35" s="8">
        <v>2299.64</v>
      </c>
      <c r="E35" s="8">
        <v>253322.17</v>
      </c>
      <c r="F35" s="10">
        <v>0</v>
      </c>
      <c r="G35" s="6">
        <v>234495.66</v>
      </c>
      <c r="H35" s="5">
        <v>2.5767429352576023</v>
      </c>
      <c r="I35" s="4">
        <f t="shared" si="9"/>
        <v>0</v>
      </c>
      <c r="J35" s="4">
        <f t="shared" si="10"/>
        <v>9.8067486622140463E-3</v>
      </c>
      <c r="K35" s="5">
        <f t="shared" si="11"/>
        <v>0.90779263417805067</v>
      </c>
    </row>
    <row r="36" spans="1:12" x14ac:dyDescent="0.3">
      <c r="B36" s="2" t="s">
        <v>12</v>
      </c>
      <c r="C36" s="2">
        <v>2020</v>
      </c>
      <c r="D36" s="8">
        <v>19767.8</v>
      </c>
      <c r="E36" s="8">
        <v>269851.65999999997</v>
      </c>
      <c r="F36" s="10">
        <v>0</v>
      </c>
      <c r="G36" s="6">
        <v>251060.12</v>
      </c>
      <c r="H36" s="5">
        <v>22.149788225802837</v>
      </c>
      <c r="I36" s="4">
        <f t="shared" si="9"/>
        <v>0</v>
      </c>
      <c r="J36" s="4">
        <f t="shared" si="10"/>
        <v>7.8737315986306386E-2</v>
      </c>
      <c r="K36" s="5">
        <f t="shared" si="11"/>
        <v>7.3254320540403564</v>
      </c>
    </row>
    <row r="37" spans="1:12" x14ac:dyDescent="0.3">
      <c r="B37" s="2" t="s">
        <v>12</v>
      </c>
      <c r="C37" s="2">
        <v>2021</v>
      </c>
      <c r="D37" s="8">
        <v>22405.46</v>
      </c>
      <c r="E37" s="8">
        <v>278115.48</v>
      </c>
      <c r="F37" s="10">
        <v>0</v>
      </c>
      <c r="G37" s="6">
        <v>275561.56</v>
      </c>
      <c r="H37" s="5">
        <v>25.105282029446695</v>
      </c>
      <c r="I37" s="4">
        <f t="shared" si="9"/>
        <v>0</v>
      </c>
      <c r="J37" s="4">
        <f t="shared" si="10"/>
        <v>8.130836536126447E-2</v>
      </c>
      <c r="K37" s="5">
        <f t="shared" si="11"/>
        <v>8.0561714867507561</v>
      </c>
    </row>
    <row r="38" spans="1:12" x14ac:dyDescent="0.3">
      <c r="B38" s="2" t="s">
        <v>12</v>
      </c>
      <c r="C38" s="2">
        <v>2022</v>
      </c>
      <c r="D38" s="8">
        <v>35373.879999999997</v>
      </c>
      <c r="E38" s="8">
        <v>289972.69</v>
      </c>
      <c r="F38" s="10">
        <v>0</v>
      </c>
      <c r="G38" s="6">
        <v>305588.04000000004</v>
      </c>
      <c r="H38" s="5">
        <v>39.636375859982515</v>
      </c>
      <c r="I38" s="4">
        <f t="shared" si="9"/>
        <v>0</v>
      </c>
      <c r="J38" s="4">
        <f t="shared" si="10"/>
        <v>0.11575675540181479</v>
      </c>
      <c r="K38" s="5">
        <f t="shared" si="11"/>
        <v>12.199038468070906</v>
      </c>
    </row>
    <row r="39" spans="1:12" x14ac:dyDescent="0.3">
      <c r="B39" s="2" t="s">
        <v>12</v>
      </c>
      <c r="C39" s="2">
        <v>2023</v>
      </c>
      <c r="D39" s="8">
        <v>55648.17</v>
      </c>
      <c r="E39" s="8">
        <v>350844.58</v>
      </c>
      <c r="F39" s="10">
        <v>0</v>
      </c>
      <c r="G39" s="6">
        <v>358931.32</v>
      </c>
      <c r="H39" s="5">
        <v>62.353685319229989</v>
      </c>
      <c r="I39" s="4">
        <f t="shared" si="9"/>
        <v>0</v>
      </c>
      <c r="J39" s="4">
        <f t="shared" si="10"/>
        <v>0.1550384903719185</v>
      </c>
      <c r="K39" s="5">
        <f t="shared" si="11"/>
        <v>15.861202701207469</v>
      </c>
    </row>
    <row r="40" spans="1:12" x14ac:dyDescent="0.3">
      <c r="B40" s="2" t="s">
        <v>12</v>
      </c>
      <c r="C40" s="2">
        <v>2024</v>
      </c>
      <c r="D40" s="8">
        <v>67084.67</v>
      </c>
      <c r="E40" s="8">
        <v>439188.51</v>
      </c>
      <c r="F40" s="10">
        <v>0</v>
      </c>
      <c r="G40" s="6">
        <v>414939.17000000004</v>
      </c>
      <c r="H40" s="5">
        <v>75.168265244380692</v>
      </c>
      <c r="I40" s="4">
        <f t="shared" si="9"/>
        <v>0</v>
      </c>
      <c r="J40" s="4">
        <f t="shared" si="10"/>
        <v>0.16167350505858483</v>
      </c>
      <c r="K40" s="5">
        <f t="shared" si="11"/>
        <v>15.274686944792796</v>
      </c>
    </row>
    <row r="41" spans="1:12" x14ac:dyDescent="0.3">
      <c r="B41" s="2" t="s">
        <v>12</v>
      </c>
      <c r="C41" s="2">
        <v>2025</v>
      </c>
      <c r="D41" s="8">
        <v>77561.34</v>
      </c>
      <c r="E41" s="8">
        <v>490937.79</v>
      </c>
      <c r="F41" s="10">
        <v>0</v>
      </c>
      <c r="G41" s="6">
        <v>487036.76</v>
      </c>
      <c r="H41" s="5">
        <v>86.907357192479211</v>
      </c>
      <c r="I41" s="4">
        <f t="shared" si="9"/>
        <v>0</v>
      </c>
      <c r="J41" s="4">
        <f t="shared" si="10"/>
        <v>0.15925151111796981</v>
      </c>
      <c r="K41" s="5">
        <f t="shared" si="11"/>
        <v>15.798608618008403</v>
      </c>
    </row>
    <row r="42" spans="1:12" x14ac:dyDescent="0.3">
      <c r="A42">
        <v>5</v>
      </c>
      <c r="B42" s="2" t="s">
        <v>13</v>
      </c>
      <c r="C42" s="2">
        <v>2016</v>
      </c>
      <c r="D42" s="8">
        <v>12801.33</v>
      </c>
      <c r="E42" s="8">
        <v>63161.56</v>
      </c>
      <c r="F42" s="10">
        <v>687908.2</v>
      </c>
      <c r="G42" s="6">
        <v>74304.13</v>
      </c>
      <c r="H42" s="5">
        <v>12.658541650185903</v>
      </c>
      <c r="I42" s="4">
        <f>F42/G42</f>
        <v>9.2580075966167676</v>
      </c>
      <c r="J42" s="4">
        <f>D42/G42</f>
        <v>0.17228288656364052</v>
      </c>
      <c r="K42" s="5">
        <f>(D42/E42)*100</f>
        <v>20.267596303827833</v>
      </c>
      <c r="L42" s="4">
        <f>AVERAGE(J42:J51)</f>
        <v>0.15480346904795159</v>
      </c>
    </row>
    <row r="43" spans="1:12" x14ac:dyDescent="0.3">
      <c r="B43" s="2" t="s">
        <v>13</v>
      </c>
      <c r="C43" s="2">
        <v>2017</v>
      </c>
      <c r="D43" s="8">
        <v>15280.48</v>
      </c>
      <c r="E43" s="8">
        <v>73271.350000000006</v>
      </c>
      <c r="F43" s="10">
        <v>800550.21</v>
      </c>
      <c r="G43" s="6">
        <v>91793.95</v>
      </c>
      <c r="H43" s="5">
        <v>14.90749448791243</v>
      </c>
      <c r="I43" s="4">
        <f t="shared" ref="I43:I51" si="12">F43/G43</f>
        <v>8.7211652837687019</v>
      </c>
      <c r="J43" s="4">
        <f t="shared" ref="J43:J51" si="13">D43/G43</f>
        <v>0.16646500123374144</v>
      </c>
      <c r="K43" s="5">
        <f t="shared" ref="K43:K51" si="14">(D43/E43)*100</f>
        <v>20.854645096616888</v>
      </c>
    </row>
    <row r="44" spans="1:12" x14ac:dyDescent="0.3">
      <c r="B44" s="2" t="s">
        <v>13</v>
      </c>
      <c r="C44" s="2">
        <v>2018</v>
      </c>
      <c r="D44" s="8">
        <v>18510.02</v>
      </c>
      <c r="E44" s="8">
        <v>85287.84</v>
      </c>
      <c r="F44" s="10">
        <v>993587.03999999992</v>
      </c>
      <c r="G44" s="6">
        <v>109599.13</v>
      </c>
      <c r="H44" s="5">
        <v>17.831702053870757</v>
      </c>
      <c r="I44" s="4">
        <f t="shared" si="12"/>
        <v>9.065647145191754</v>
      </c>
      <c r="J44" s="4">
        <f t="shared" si="13"/>
        <v>0.16888838442421941</v>
      </c>
      <c r="K44" s="5">
        <f t="shared" si="14"/>
        <v>21.70300009942801</v>
      </c>
    </row>
    <row r="45" spans="1:12" x14ac:dyDescent="0.3">
      <c r="B45" s="2" t="s">
        <v>13</v>
      </c>
      <c r="C45" s="2">
        <v>2019</v>
      </c>
      <c r="D45" s="8">
        <v>22332.43</v>
      </c>
      <c r="E45" s="8">
        <v>105160.74</v>
      </c>
      <c r="F45" s="10">
        <v>1139133.05</v>
      </c>
      <c r="G45" s="6">
        <v>153672.66</v>
      </c>
      <c r="H45" s="5">
        <v>20.501257665332503</v>
      </c>
      <c r="I45" s="4">
        <f t="shared" si="12"/>
        <v>7.4127242282394281</v>
      </c>
      <c r="J45" s="4">
        <f t="shared" si="13"/>
        <v>0.14532467909386093</v>
      </c>
      <c r="K45" s="5">
        <f t="shared" si="14"/>
        <v>21.236470949139381</v>
      </c>
    </row>
    <row r="46" spans="1:12" x14ac:dyDescent="0.3">
      <c r="B46" s="2" t="s">
        <v>13</v>
      </c>
      <c r="C46" s="2">
        <v>2020</v>
      </c>
      <c r="D46" s="8">
        <v>27253.95</v>
      </c>
      <c r="E46" s="8">
        <v>122189.29</v>
      </c>
      <c r="F46" s="10">
        <v>1404471.72</v>
      </c>
      <c r="G46" s="6">
        <v>176358.71</v>
      </c>
      <c r="H46" s="5">
        <v>24.85177721445115</v>
      </c>
      <c r="I46" s="4">
        <f t="shared" si="12"/>
        <v>7.9637218938605301</v>
      </c>
      <c r="J46" s="4">
        <f t="shared" si="13"/>
        <v>0.15453702286663359</v>
      </c>
      <c r="K46" s="5">
        <f t="shared" si="14"/>
        <v>22.304696262659355</v>
      </c>
    </row>
    <row r="47" spans="1:12" x14ac:dyDescent="0.3">
      <c r="B47" s="2" t="s">
        <v>13</v>
      </c>
      <c r="C47" s="2">
        <v>2021</v>
      </c>
      <c r="D47" s="8">
        <v>31833.21</v>
      </c>
      <c r="E47" s="8">
        <v>128552.4</v>
      </c>
      <c r="F47" s="10">
        <v>1589696.4500000002</v>
      </c>
      <c r="G47" s="6">
        <v>209810.18</v>
      </c>
      <c r="H47" s="5">
        <v>28.872088593818024</v>
      </c>
      <c r="I47" s="4">
        <f t="shared" si="12"/>
        <v>7.5768318296090316</v>
      </c>
      <c r="J47" s="4">
        <f t="shared" si="13"/>
        <v>0.15172385820363912</v>
      </c>
      <c r="K47" s="5">
        <f t="shared" si="14"/>
        <v>24.762828231911659</v>
      </c>
    </row>
    <row r="48" spans="1:12" x14ac:dyDescent="0.3">
      <c r="B48" s="2" t="s">
        <v>13</v>
      </c>
      <c r="C48" s="2">
        <v>2022</v>
      </c>
      <c r="D48" s="8">
        <v>38052.75</v>
      </c>
      <c r="E48" s="8">
        <v>135936.41</v>
      </c>
      <c r="F48" s="10">
        <v>1875608.1300000001</v>
      </c>
      <c r="G48" s="6">
        <v>247326.16999999998</v>
      </c>
      <c r="H48" s="5">
        <v>34.309265988044473</v>
      </c>
      <c r="I48" s="4">
        <f t="shared" si="12"/>
        <v>7.5835409168386843</v>
      </c>
      <c r="J48" s="4">
        <f t="shared" si="13"/>
        <v>0.15385654498268422</v>
      </c>
      <c r="K48" s="5">
        <f t="shared" si="14"/>
        <v>27.993052045438009</v>
      </c>
    </row>
    <row r="49" spans="1:23" x14ac:dyDescent="0.3">
      <c r="B49" s="2" t="s">
        <v>13</v>
      </c>
      <c r="C49" s="2">
        <v>2023</v>
      </c>
      <c r="D49" s="8">
        <v>45997.11</v>
      </c>
      <c r="E49" s="8">
        <v>170754.05</v>
      </c>
      <c r="F49" s="10">
        <v>2240994.94</v>
      </c>
      <c r="G49" s="6">
        <v>289437.5</v>
      </c>
      <c r="H49" s="5">
        <v>41.217895066983289</v>
      </c>
      <c r="I49" s="4">
        <f t="shared" si="12"/>
        <v>7.7425867069747349</v>
      </c>
      <c r="J49" s="4">
        <f t="shared" si="13"/>
        <v>0.1589189721442453</v>
      </c>
      <c r="K49" s="5">
        <f t="shared" si="14"/>
        <v>26.937639253651675</v>
      </c>
    </row>
    <row r="50" spans="1:23" x14ac:dyDescent="0.3">
      <c r="B50" s="2" t="s">
        <v>13</v>
      </c>
      <c r="C50" s="2">
        <v>2024</v>
      </c>
      <c r="D50" s="8">
        <v>64062.04</v>
      </c>
      <c r="E50" s="8">
        <v>283649.02</v>
      </c>
      <c r="F50" s="10">
        <v>3573799.0100000002</v>
      </c>
      <c r="G50" s="6">
        <v>456395.25</v>
      </c>
      <c r="H50" s="5">
        <v>42.163277126196206</v>
      </c>
      <c r="I50" s="4">
        <f t="shared" si="12"/>
        <v>7.8304912463484229</v>
      </c>
      <c r="J50" s="4">
        <f t="shared" si="13"/>
        <v>0.1403652645377006</v>
      </c>
      <c r="K50" s="5">
        <f t="shared" si="14"/>
        <v>22.58496785922264</v>
      </c>
    </row>
    <row r="51" spans="1:23" x14ac:dyDescent="0.3">
      <c r="B51" s="2" t="s">
        <v>13</v>
      </c>
      <c r="C51" s="2">
        <v>2025</v>
      </c>
      <c r="D51" s="8">
        <v>70792.25</v>
      </c>
      <c r="E51" s="8">
        <v>336367.43</v>
      </c>
      <c r="F51" s="10">
        <v>3870320.44</v>
      </c>
      <c r="G51" s="6">
        <v>521789.38999999996</v>
      </c>
      <c r="H51" s="5">
        <v>46.256142024515825</v>
      </c>
      <c r="I51" s="4">
        <f t="shared" si="12"/>
        <v>7.4173996523769876</v>
      </c>
      <c r="J51" s="4">
        <f t="shared" si="13"/>
        <v>0.13567207642915086</v>
      </c>
      <c r="K51" s="5">
        <f t="shared" si="14"/>
        <v>21.046107228633879</v>
      </c>
    </row>
    <row r="52" spans="1:23" x14ac:dyDescent="0.3">
      <c r="A52">
        <v>6</v>
      </c>
      <c r="B52" s="2" t="s">
        <v>14</v>
      </c>
      <c r="C52" s="2">
        <v>2016</v>
      </c>
      <c r="D52" s="8">
        <v>10179.959999999999</v>
      </c>
      <c r="E52" s="8">
        <v>59293.71</v>
      </c>
      <c r="F52" s="10">
        <v>824645.48</v>
      </c>
      <c r="G52" s="6">
        <v>94110.720000000001</v>
      </c>
      <c r="H52" s="5">
        <v>15.915637409712016</v>
      </c>
      <c r="I52" s="4">
        <f>F52/G52</f>
        <v>8.7625031452314879</v>
      </c>
      <c r="J52" s="4">
        <f>D52/G52</f>
        <v>0.10817003631467274</v>
      </c>
      <c r="K52" s="5">
        <f>(D52/E52)*100</f>
        <v>17.168701368155237</v>
      </c>
      <c r="L52" s="4">
        <f>AVERAGE(J52:J61)</f>
        <v>0.11389014079653245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x14ac:dyDescent="0.3">
      <c r="B53" s="2" t="s">
        <v>14</v>
      </c>
      <c r="C53" s="2">
        <v>2017</v>
      </c>
      <c r="D53" s="8">
        <v>10188.379999999999</v>
      </c>
      <c r="E53" s="8">
        <v>60939.98</v>
      </c>
      <c r="F53" s="10">
        <v>881092.65</v>
      </c>
      <c r="G53" s="6">
        <v>104632</v>
      </c>
      <c r="H53" s="5">
        <v>15.902199191496665</v>
      </c>
      <c r="I53" s="4">
        <f t="shared" ref="I53:I61" si="15">F53/G53</f>
        <v>8.4208717218441773</v>
      </c>
      <c r="J53" s="4">
        <f t="shared" ref="J53:J61" si="16">D53/G53</f>
        <v>9.7373461273797687E-2</v>
      </c>
      <c r="K53" s="5">
        <f t="shared" ref="K53:K61" si="17">(D53/E53)*100</f>
        <v>16.71871241178615</v>
      </c>
    </row>
    <row r="54" spans="1:23" x14ac:dyDescent="0.3">
      <c r="B54" s="2" t="s">
        <v>14</v>
      </c>
      <c r="C54" s="2">
        <v>2018</v>
      </c>
      <c r="D54" s="8">
        <v>7712.19</v>
      </c>
      <c r="E54" s="8">
        <v>62162.35</v>
      </c>
      <c r="F54" s="10">
        <v>1013651.35</v>
      </c>
      <c r="G54" s="6">
        <v>110629.7</v>
      </c>
      <c r="H54" s="5">
        <v>11.997806471686372</v>
      </c>
      <c r="I54" s="4">
        <f t="shared" si="15"/>
        <v>9.1625607770788502</v>
      </c>
      <c r="J54" s="4">
        <f t="shared" si="16"/>
        <v>6.9711750099656786E-2</v>
      </c>
      <c r="K54" s="5">
        <f t="shared" si="17"/>
        <v>12.40652903244488</v>
      </c>
    </row>
    <row r="55" spans="1:23" x14ac:dyDescent="0.3">
      <c r="B55" s="2" t="s">
        <v>14</v>
      </c>
      <c r="C55" s="2">
        <v>2019</v>
      </c>
      <c r="D55" s="8">
        <v>4254.24</v>
      </c>
      <c r="E55" s="8">
        <v>71981.649999999994</v>
      </c>
      <c r="F55" s="10">
        <v>1124540.48</v>
      </c>
      <c r="G55" s="6">
        <v>114253.41</v>
      </c>
      <c r="H55" s="5">
        <v>6.5996090720114173</v>
      </c>
      <c r="I55" s="4">
        <f t="shared" si="15"/>
        <v>9.8425113088528384</v>
      </c>
      <c r="J55" s="4">
        <f t="shared" si="16"/>
        <v>3.723512497351282E-2</v>
      </c>
      <c r="K55" s="5">
        <f t="shared" si="17"/>
        <v>5.9101729399089908</v>
      </c>
    </row>
    <row r="56" spans="1:23" x14ac:dyDescent="0.3">
      <c r="B56" s="2" t="s">
        <v>14</v>
      </c>
      <c r="C56" s="2">
        <v>2020</v>
      </c>
      <c r="D56" s="8">
        <v>9566.31</v>
      </c>
      <c r="E56" s="8">
        <v>84835.77</v>
      </c>
      <c r="F56" s="10">
        <v>1254332.17</v>
      </c>
      <c r="G56" s="6">
        <v>122960.06</v>
      </c>
      <c r="H56" s="5">
        <v>14.779245457916202</v>
      </c>
      <c r="I56" s="4">
        <f t="shared" si="15"/>
        <v>10.201134986433805</v>
      </c>
      <c r="J56" s="4">
        <f t="shared" si="16"/>
        <v>7.7800140956339803E-2</v>
      </c>
      <c r="K56" s="5">
        <f t="shared" si="17"/>
        <v>11.276269432103932</v>
      </c>
    </row>
    <row r="57" spans="1:23" x14ac:dyDescent="0.3">
      <c r="B57" s="2" t="s">
        <v>14</v>
      </c>
      <c r="C57" s="2">
        <v>2021</v>
      </c>
      <c r="D57" s="8">
        <v>18384.32</v>
      </c>
      <c r="E57" s="8">
        <v>89162.66</v>
      </c>
      <c r="F57" s="10">
        <v>1416224.75</v>
      </c>
      <c r="G57" s="6">
        <v>157587.5</v>
      </c>
      <c r="H57" s="5">
        <v>26.582301908617698</v>
      </c>
      <c r="I57" s="4">
        <f t="shared" si="15"/>
        <v>8.9869104465772978</v>
      </c>
      <c r="J57" s="4">
        <f t="shared" si="16"/>
        <v>0.11666102958673752</v>
      </c>
      <c r="K57" s="5">
        <f t="shared" si="17"/>
        <v>20.618855471561748</v>
      </c>
    </row>
    <row r="58" spans="1:23" x14ac:dyDescent="0.3">
      <c r="B58" s="2" t="s">
        <v>14</v>
      </c>
      <c r="C58" s="2">
        <v>2022</v>
      </c>
      <c r="D58" s="8">
        <v>25110.1</v>
      </c>
      <c r="E58" s="8">
        <v>95406.87</v>
      </c>
      <c r="F58" s="10">
        <v>1570584.89</v>
      </c>
      <c r="G58" s="6">
        <v>182052.49</v>
      </c>
      <c r="H58" s="5">
        <v>36.135879576329721</v>
      </c>
      <c r="I58" s="4">
        <f t="shared" si="15"/>
        <v>8.6270991954023817</v>
      </c>
      <c r="J58" s="4">
        <f t="shared" si="16"/>
        <v>0.1379278031297457</v>
      </c>
      <c r="K58" s="5">
        <f t="shared" si="17"/>
        <v>26.318964242302467</v>
      </c>
    </row>
    <row r="59" spans="1:23" x14ac:dyDescent="0.3">
      <c r="B59" s="2" t="s">
        <v>14</v>
      </c>
      <c r="C59" s="2">
        <v>2023</v>
      </c>
      <c r="D59" s="8">
        <v>34036.639999999999</v>
      </c>
      <c r="E59" s="8">
        <v>121066.81</v>
      </c>
      <c r="F59" s="10">
        <v>1743992.71</v>
      </c>
      <c r="G59" s="6">
        <v>214497.79</v>
      </c>
      <c r="H59" s="5">
        <v>48.743541272841838</v>
      </c>
      <c r="I59" s="4">
        <f t="shared" si="15"/>
        <v>8.1305859141951995</v>
      </c>
      <c r="J59" s="4">
        <f t="shared" si="16"/>
        <v>0.15868060925009997</v>
      </c>
      <c r="K59" s="5">
        <f t="shared" si="17"/>
        <v>28.113931473043685</v>
      </c>
    </row>
    <row r="60" spans="1:23" x14ac:dyDescent="0.3">
      <c r="B60" s="2" t="s">
        <v>14</v>
      </c>
      <c r="C60" s="2">
        <v>2024</v>
      </c>
      <c r="D60" s="8">
        <v>44256.37</v>
      </c>
      <c r="E60" s="8">
        <v>159515.93</v>
      </c>
      <c r="F60" s="10">
        <v>2107919.1799999997</v>
      </c>
      <c r="G60" s="6">
        <v>256143.84</v>
      </c>
      <c r="H60" s="5">
        <v>63.022613673582732</v>
      </c>
      <c r="I60" s="4">
        <f t="shared" si="15"/>
        <v>8.2294353828692497</v>
      </c>
      <c r="J60" s="4">
        <f t="shared" si="16"/>
        <v>0.17277936490684298</v>
      </c>
      <c r="K60" s="5">
        <f t="shared" si="17"/>
        <v>27.74416950081412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x14ac:dyDescent="0.3">
      <c r="B61" s="2" t="s">
        <v>14</v>
      </c>
      <c r="C61" s="2">
        <v>2025</v>
      </c>
      <c r="D61" s="8">
        <v>51029.2</v>
      </c>
      <c r="E61" s="8">
        <v>186331.46</v>
      </c>
      <c r="F61" s="10">
        <v>2328335.5</v>
      </c>
      <c r="G61" s="6">
        <v>313905.90999999997</v>
      </c>
      <c r="H61" s="5">
        <v>71.651104340133941</v>
      </c>
      <c r="I61" s="4">
        <f t="shared" si="15"/>
        <v>7.4173038029134277</v>
      </c>
      <c r="J61" s="4">
        <f t="shared" si="16"/>
        <v>0.16256208747391854</v>
      </c>
      <c r="K61" s="5">
        <f t="shared" si="17"/>
        <v>27.38625028752525</v>
      </c>
    </row>
    <row r="62" spans="1:23" x14ac:dyDescent="0.3">
      <c r="A62">
        <v>7</v>
      </c>
      <c r="B62" s="2" t="s">
        <v>16</v>
      </c>
      <c r="C62" s="2">
        <v>2016</v>
      </c>
      <c r="D62" s="8">
        <v>9344.4500000000007</v>
      </c>
      <c r="E62" s="8">
        <v>39192.1</v>
      </c>
      <c r="F62" s="8">
        <v>27</v>
      </c>
      <c r="G62" s="6">
        <v>42679.520000000004</v>
      </c>
      <c r="H62" s="5">
        <v>7.7413675978394147</v>
      </c>
      <c r="I62" s="4">
        <f>F62/G62</f>
        <v>6.3262192264580284E-4</v>
      </c>
      <c r="J62" s="4">
        <f>D62/G62</f>
        <v>0.21894458981731754</v>
      </c>
      <c r="K62" s="5">
        <f>(D62/E62)*100</f>
        <v>23.842687684507847</v>
      </c>
      <c r="L62" s="4">
        <f>AVERAGE(J62:J71)</f>
        <v>0.2613120136924057</v>
      </c>
    </row>
    <row r="63" spans="1:23" x14ac:dyDescent="0.3">
      <c r="B63" s="2" t="s">
        <v>16</v>
      </c>
      <c r="C63" s="2">
        <v>2017</v>
      </c>
      <c r="D63" s="8">
        <v>10289.44</v>
      </c>
      <c r="E63" s="8">
        <v>42767.6</v>
      </c>
      <c r="F63" s="8">
        <v>18</v>
      </c>
      <c r="G63" s="6">
        <v>46412.93</v>
      </c>
      <c r="H63" s="5">
        <v>8.4704875117309051</v>
      </c>
      <c r="I63" s="4">
        <f t="shared" ref="I63:I70" si="18">F63/G63</f>
        <v>3.8782296226504121E-4</v>
      </c>
      <c r="J63" s="4">
        <f t="shared" ref="J63:J71" si="19">D63/G63</f>
        <v>0.2216933944915781</v>
      </c>
      <c r="K63" s="5">
        <f t="shared" ref="K63:K71" si="20">(D63/E63)*100</f>
        <v>24.05896052151629</v>
      </c>
    </row>
    <row r="64" spans="1:23" x14ac:dyDescent="0.3">
      <c r="B64" s="2" t="s">
        <v>16</v>
      </c>
      <c r="C64" s="2">
        <v>2018</v>
      </c>
      <c r="D64" s="8">
        <v>11271.2</v>
      </c>
      <c r="E64" s="8">
        <v>43448.94</v>
      </c>
      <c r="F64" s="8">
        <v>12</v>
      </c>
      <c r="G64" s="6">
        <v>52510.11</v>
      </c>
      <c r="H64" s="5">
        <v>9.2354334128135172</v>
      </c>
      <c r="I64" s="4">
        <f t="shared" si="18"/>
        <v>2.2852742071955285E-4</v>
      </c>
      <c r="J64" s="4">
        <f t="shared" si="19"/>
        <v>0.21464818870118538</v>
      </c>
      <c r="K64" s="5">
        <f t="shared" si="20"/>
        <v>25.941254263049917</v>
      </c>
    </row>
    <row r="65" spans="1:23" x14ac:dyDescent="0.3">
      <c r="B65" s="2" t="s">
        <v>16</v>
      </c>
      <c r="C65" s="2">
        <v>2019</v>
      </c>
      <c r="D65" s="8">
        <v>12592.33</v>
      </c>
      <c r="E65" s="8">
        <v>48339.58</v>
      </c>
      <c r="F65" s="8">
        <v>8</v>
      </c>
      <c r="G65" s="6">
        <v>59140.87</v>
      </c>
      <c r="H65" s="5">
        <v>10.272241528396393</v>
      </c>
      <c r="I65" s="4">
        <f t="shared" si="18"/>
        <v>1.3527024543264244E-4</v>
      </c>
      <c r="J65" s="4">
        <f t="shared" si="19"/>
        <v>0.21292094620860327</v>
      </c>
      <c r="K65" s="5">
        <f t="shared" si="20"/>
        <v>26.049729848707827</v>
      </c>
    </row>
    <row r="66" spans="1:23" x14ac:dyDescent="0.3">
      <c r="B66" s="2" t="s">
        <v>16</v>
      </c>
      <c r="C66" s="2">
        <v>2020</v>
      </c>
      <c r="D66" s="8">
        <v>15306.23</v>
      </c>
      <c r="E66" s="8">
        <v>49387.7</v>
      </c>
      <c r="F66" s="8">
        <v>6</v>
      </c>
      <c r="G66" s="6">
        <v>65273.26</v>
      </c>
      <c r="H66" s="5">
        <v>12.451985812141032</v>
      </c>
      <c r="I66" s="4">
        <f t="shared" si="18"/>
        <v>9.1921255350200067E-5</v>
      </c>
      <c r="J66" s="4">
        <f t="shared" si="19"/>
        <v>0.23449464604648212</v>
      </c>
      <c r="K66" s="5">
        <f t="shared" si="20"/>
        <v>30.991987883622844</v>
      </c>
    </row>
    <row r="67" spans="1:23" x14ac:dyDescent="0.3">
      <c r="B67" s="2" t="s">
        <v>16</v>
      </c>
      <c r="C67" s="2">
        <v>2021</v>
      </c>
      <c r="D67" s="8">
        <v>13161.19</v>
      </c>
      <c r="E67" s="8">
        <v>49257.45</v>
      </c>
      <c r="F67" s="8">
        <v>6</v>
      </c>
      <c r="G67" s="6">
        <v>60347.34</v>
      </c>
      <c r="H67" s="5">
        <v>10.692504549590536</v>
      </c>
      <c r="I67" s="4">
        <f t="shared" si="18"/>
        <v>9.9424431963364087E-5</v>
      </c>
      <c r="J67" s="4">
        <f t="shared" si="19"/>
        <v>0.21809063995198466</v>
      </c>
      <c r="K67" s="5">
        <f t="shared" si="20"/>
        <v>26.719186640802562</v>
      </c>
    </row>
    <row r="68" spans="1:23" x14ac:dyDescent="0.3">
      <c r="B68" s="2" t="s">
        <v>16</v>
      </c>
      <c r="C68" s="2">
        <v>2022</v>
      </c>
      <c r="D68" s="8">
        <v>15242.66</v>
      </c>
      <c r="E68" s="8">
        <v>60644.54</v>
      </c>
      <c r="F68" s="8">
        <v>5</v>
      </c>
      <c r="G68" s="6">
        <v>62455.57</v>
      </c>
      <c r="H68" s="5">
        <v>12.368975842509718</v>
      </c>
      <c r="I68" s="4">
        <f t="shared" si="18"/>
        <v>8.0056910856789876E-5</v>
      </c>
      <c r="J68" s="4">
        <f t="shared" si="19"/>
        <v>0.24405605456807136</v>
      </c>
      <c r="K68" s="5">
        <f t="shared" si="20"/>
        <v>25.134430898478243</v>
      </c>
    </row>
    <row r="69" spans="1:23" x14ac:dyDescent="0.3">
      <c r="B69" s="2" t="s">
        <v>16</v>
      </c>
      <c r="C69" s="2">
        <v>2023</v>
      </c>
      <c r="D69" s="8">
        <v>19191.66</v>
      </c>
      <c r="E69" s="8">
        <v>70919.03</v>
      </c>
      <c r="F69" s="8">
        <v>3</v>
      </c>
      <c r="G69" s="6">
        <v>69155.260000000009</v>
      </c>
      <c r="H69" s="5">
        <v>15.442275506919859</v>
      </c>
      <c r="I69" s="4">
        <f t="shared" si="18"/>
        <v>4.3380648124235231E-5</v>
      </c>
      <c r="J69" s="4">
        <f t="shared" si="19"/>
        <v>0.2775155497933201</v>
      </c>
      <c r="K69" s="5">
        <f t="shared" si="20"/>
        <v>27.061368436652334</v>
      </c>
    </row>
    <row r="70" spans="1:23" x14ac:dyDescent="0.3">
      <c r="B70" s="2" t="s">
        <v>16</v>
      </c>
      <c r="C70" s="2">
        <v>2024</v>
      </c>
      <c r="D70" s="8">
        <v>20458.78</v>
      </c>
      <c r="E70" s="8">
        <v>67931.94</v>
      </c>
      <c r="F70" s="8">
        <v>2</v>
      </c>
      <c r="G70" s="6">
        <v>74507</v>
      </c>
      <c r="H70" s="5">
        <v>16.387081788108645</v>
      </c>
      <c r="I70" s="4">
        <f t="shared" si="18"/>
        <v>2.6843115411974713E-5</v>
      </c>
      <c r="J70" s="4">
        <f t="shared" si="19"/>
        <v>0.27458869636409999</v>
      </c>
      <c r="K70" s="5">
        <f t="shared" si="20"/>
        <v>30.116584334261614</v>
      </c>
    </row>
    <row r="71" spans="1:23" x14ac:dyDescent="0.3">
      <c r="B71" s="2" t="s">
        <v>16</v>
      </c>
      <c r="C71" s="2">
        <v>2025</v>
      </c>
      <c r="D71" s="8">
        <v>34746.629999999997</v>
      </c>
      <c r="E71" s="8">
        <v>75323.34</v>
      </c>
      <c r="F71" s="8">
        <v>0</v>
      </c>
      <c r="G71" s="6">
        <v>70030.05</v>
      </c>
      <c r="H71" s="5">
        <v>27.765983970081745</v>
      </c>
      <c r="I71" s="4">
        <v>0</v>
      </c>
      <c r="J71" s="4">
        <f t="shared" si="19"/>
        <v>0.49616743098141436</v>
      </c>
      <c r="K71" s="5">
        <f t="shared" si="20"/>
        <v>46.129964497060271</v>
      </c>
    </row>
    <row r="72" spans="1:23" x14ac:dyDescent="0.3">
      <c r="A72">
        <v>8</v>
      </c>
      <c r="B72" s="2" t="s">
        <v>15</v>
      </c>
      <c r="C72" s="2">
        <v>2016</v>
      </c>
      <c r="D72" s="8">
        <v>4151</v>
      </c>
      <c r="E72" s="8">
        <v>32186</v>
      </c>
      <c r="F72" s="10">
        <v>0</v>
      </c>
      <c r="G72" s="6">
        <v>6573</v>
      </c>
      <c r="H72" s="5">
        <v>19.182956698553539</v>
      </c>
      <c r="I72" s="4">
        <f>F72/G72</f>
        <v>0</v>
      </c>
      <c r="J72" s="4">
        <f>D72/G72</f>
        <v>0.6315228966986155</v>
      </c>
      <c r="K72" s="5">
        <f>(D72/E72)*100</f>
        <v>12.896911700739452</v>
      </c>
      <c r="L72" s="4">
        <f>AVERAGE(J72:J81)</f>
        <v>0.45669720746935144</v>
      </c>
    </row>
    <row r="73" spans="1:23" x14ac:dyDescent="0.3">
      <c r="B73" s="2" t="s">
        <v>15</v>
      </c>
      <c r="C73" s="2">
        <v>2017</v>
      </c>
      <c r="D73" s="8">
        <v>4476</v>
      </c>
      <c r="E73" s="8">
        <v>33162</v>
      </c>
      <c r="F73" s="10">
        <v>0</v>
      </c>
      <c r="G73" s="6">
        <v>6744</v>
      </c>
      <c r="H73" s="5">
        <v>20.681051610220393</v>
      </c>
      <c r="I73" s="4">
        <f t="shared" ref="I73:I81" si="21">F73/G73</f>
        <v>0</v>
      </c>
      <c r="J73" s="4">
        <f t="shared" ref="J73:J81" si="22">D73/G73</f>
        <v>0.66370106761565839</v>
      </c>
      <c r="K73" s="5">
        <f t="shared" ref="K73:K81" si="23">(D73/E73)*100</f>
        <v>13.497376515288584</v>
      </c>
    </row>
    <row r="74" spans="1:23" x14ac:dyDescent="0.3">
      <c r="B74" s="2" t="s">
        <v>15</v>
      </c>
      <c r="C74" s="2">
        <v>2018</v>
      </c>
      <c r="D74" s="8">
        <v>5214</v>
      </c>
      <c r="E74" s="8">
        <v>35545</v>
      </c>
      <c r="F74" s="10">
        <v>0</v>
      </c>
      <c r="G74" s="6">
        <v>7281</v>
      </c>
      <c r="H74" s="5">
        <v>24.088704088704091</v>
      </c>
      <c r="I74" s="4">
        <f t="shared" si="21"/>
        <v>0</v>
      </c>
      <c r="J74" s="4">
        <f t="shared" si="22"/>
        <v>0.71611042439225381</v>
      </c>
      <c r="K74" s="5">
        <f t="shared" si="23"/>
        <v>14.668729779153185</v>
      </c>
    </row>
    <row r="75" spans="1:23" x14ac:dyDescent="0.3">
      <c r="B75" s="2" t="s">
        <v>15</v>
      </c>
      <c r="C75" s="2">
        <v>2019</v>
      </c>
      <c r="D75" s="8">
        <v>6054</v>
      </c>
      <c r="E75" s="8">
        <v>39310</v>
      </c>
      <c r="F75" s="10">
        <v>0</v>
      </c>
      <c r="G75" s="6">
        <v>7867</v>
      </c>
      <c r="H75" s="5">
        <v>27.966923823162563</v>
      </c>
      <c r="I75" s="4">
        <f t="shared" si="21"/>
        <v>0</v>
      </c>
      <c r="J75" s="4">
        <f t="shared" si="22"/>
        <v>0.76954366340409308</v>
      </c>
      <c r="K75" s="5">
        <f t="shared" si="23"/>
        <v>15.40066140931061</v>
      </c>
    </row>
    <row r="76" spans="1:23" x14ac:dyDescent="0.3">
      <c r="B76" s="2" t="s">
        <v>15</v>
      </c>
      <c r="C76" s="2">
        <v>2020</v>
      </c>
      <c r="D76" s="8">
        <v>6748</v>
      </c>
      <c r="E76" s="8">
        <v>39783</v>
      </c>
      <c r="F76" s="10">
        <v>0</v>
      </c>
      <c r="G76" s="6">
        <v>8229</v>
      </c>
      <c r="H76" s="5">
        <v>31.171470805617147</v>
      </c>
      <c r="I76" s="4">
        <f t="shared" si="21"/>
        <v>0</v>
      </c>
      <c r="J76" s="4">
        <f t="shared" si="22"/>
        <v>0.82002673471867782</v>
      </c>
      <c r="K76" s="5">
        <f t="shared" si="23"/>
        <v>16.962018952819044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x14ac:dyDescent="0.3">
      <c r="B77" s="2" t="s">
        <v>15</v>
      </c>
      <c r="C77" s="2">
        <v>2021</v>
      </c>
      <c r="D77" s="8">
        <v>7995</v>
      </c>
      <c r="E77" s="8">
        <v>47028</v>
      </c>
      <c r="F77" s="10">
        <v>0</v>
      </c>
      <c r="G77" s="6">
        <v>47674</v>
      </c>
      <c r="H77" s="5">
        <v>34.027068437180795</v>
      </c>
      <c r="I77" s="4">
        <f t="shared" si="21"/>
        <v>0</v>
      </c>
      <c r="J77" s="4">
        <f t="shared" si="22"/>
        <v>0.16770147250073414</v>
      </c>
      <c r="K77" s="5">
        <f t="shared" si="23"/>
        <v>17.000510334268945</v>
      </c>
    </row>
    <row r="78" spans="1:23" x14ac:dyDescent="0.3">
      <c r="B78" s="2" t="s">
        <v>15</v>
      </c>
      <c r="C78" s="2">
        <v>2022</v>
      </c>
      <c r="D78" s="8">
        <v>8879</v>
      </c>
      <c r="E78" s="8">
        <v>52446</v>
      </c>
      <c r="F78" s="10">
        <v>0</v>
      </c>
      <c r="G78" s="6">
        <v>49061</v>
      </c>
      <c r="H78" s="5">
        <v>37.789410963568265</v>
      </c>
      <c r="I78" s="4">
        <f t="shared" si="21"/>
        <v>0</v>
      </c>
      <c r="J78" s="4">
        <f t="shared" si="22"/>
        <v>0.18097878151688715</v>
      </c>
      <c r="K78" s="5">
        <f t="shared" si="23"/>
        <v>16.929794455249208</v>
      </c>
    </row>
    <row r="79" spans="1:23" x14ac:dyDescent="0.3">
      <c r="B79" s="2" t="s">
        <v>15</v>
      </c>
      <c r="C79" s="2">
        <v>2023</v>
      </c>
      <c r="D79" s="8">
        <v>10120</v>
      </c>
      <c r="E79" s="8">
        <v>60580</v>
      </c>
      <c r="F79" s="10">
        <v>0</v>
      </c>
      <c r="G79" s="6">
        <v>50304</v>
      </c>
      <c r="H79" s="5">
        <v>43.071161048689135</v>
      </c>
      <c r="I79" s="4">
        <f t="shared" si="21"/>
        <v>0</v>
      </c>
      <c r="J79" s="4">
        <f t="shared" si="22"/>
        <v>0.201176844783715</v>
      </c>
      <c r="K79" s="5">
        <f t="shared" si="23"/>
        <v>16.705183228788378</v>
      </c>
    </row>
    <row r="80" spans="1:23" x14ac:dyDescent="0.3">
      <c r="B80" s="2" t="s">
        <v>15</v>
      </c>
      <c r="C80" s="2">
        <v>2024</v>
      </c>
      <c r="D80" s="8">
        <v>10277</v>
      </c>
      <c r="E80" s="8">
        <v>61896</v>
      </c>
      <c r="F80" s="10">
        <v>0</v>
      </c>
      <c r="G80" s="6">
        <v>51218</v>
      </c>
      <c r="H80" s="5">
        <v>43.739359891045282</v>
      </c>
      <c r="I80" s="4">
        <f t="shared" si="21"/>
        <v>0</v>
      </c>
      <c r="J80" s="4">
        <f t="shared" si="22"/>
        <v>0.20065211449099926</v>
      </c>
      <c r="K80" s="5">
        <f t="shared" si="23"/>
        <v>16.603657748481325</v>
      </c>
    </row>
    <row r="81" spans="1:23" x14ac:dyDescent="0.3">
      <c r="B81" s="2" t="s">
        <v>15</v>
      </c>
      <c r="C81" s="2">
        <v>2025</v>
      </c>
      <c r="D81" s="8">
        <v>10649</v>
      </c>
      <c r="E81" s="8">
        <v>63121</v>
      </c>
      <c r="F81" s="10">
        <v>0</v>
      </c>
      <c r="G81" s="6">
        <v>49402</v>
      </c>
      <c r="H81" s="5">
        <v>45.32260810350698</v>
      </c>
      <c r="I81" s="4">
        <f t="shared" si="21"/>
        <v>0</v>
      </c>
      <c r="J81" s="4">
        <f t="shared" si="22"/>
        <v>0.21555807457187967</v>
      </c>
      <c r="K81" s="5">
        <f t="shared" si="23"/>
        <v>16.870772009315441</v>
      </c>
    </row>
    <row r="82" spans="1:23" x14ac:dyDescent="0.3">
      <c r="A82">
        <v>9</v>
      </c>
      <c r="B82" s="2" t="s">
        <v>17</v>
      </c>
      <c r="C82" s="2">
        <v>2016</v>
      </c>
      <c r="D82" s="8">
        <v>1001.36</v>
      </c>
      <c r="E82" s="8">
        <v>9141.34</v>
      </c>
      <c r="F82" s="8">
        <v>33</v>
      </c>
      <c r="G82" s="6">
        <v>3282.33</v>
      </c>
      <c r="H82" s="5">
        <v>5.1937759336099587</v>
      </c>
      <c r="I82" s="4">
        <f>F82/G82</f>
        <v>1.0053833709590444E-2</v>
      </c>
      <c r="J82" s="4">
        <f>D82/G82</f>
        <v>0.30507596737683296</v>
      </c>
      <c r="K82" s="5">
        <f>(D82/E82)*100</f>
        <v>10.954192711353041</v>
      </c>
      <c r="L82" s="4">
        <f>AVERAGE(J82:J91)</f>
        <v>0.84198246291113432</v>
      </c>
    </row>
    <row r="83" spans="1:23" x14ac:dyDescent="0.3">
      <c r="B83" s="2" t="s">
        <v>17</v>
      </c>
      <c r="C83" s="2">
        <v>2017</v>
      </c>
      <c r="D83" s="8">
        <v>1225.19</v>
      </c>
      <c r="E83" s="8">
        <v>10009.6</v>
      </c>
      <c r="F83" s="8">
        <v>35</v>
      </c>
      <c r="G83" s="6">
        <v>3420.59</v>
      </c>
      <c r="H83" s="5">
        <v>6.3547199170124484</v>
      </c>
      <c r="I83" s="4">
        <f t="shared" ref="I83:I91" si="24">F83/G83</f>
        <v>1.0232152932681204E-2</v>
      </c>
      <c r="J83" s="4">
        <f t="shared" ref="J83:J91" si="25">D83/G83</f>
        <v>0.35818089861690527</v>
      </c>
      <c r="K83" s="5">
        <f t="shared" ref="K83:K91" si="26">(D83/E83)*100</f>
        <v>12.240149456521738</v>
      </c>
    </row>
    <row r="84" spans="1:23" x14ac:dyDescent="0.3">
      <c r="B84" s="2" t="s">
        <v>17</v>
      </c>
      <c r="C84" s="2">
        <v>2018</v>
      </c>
      <c r="D84" s="8">
        <v>1606.93</v>
      </c>
      <c r="E84" s="8">
        <v>11292.27</v>
      </c>
      <c r="F84" s="8">
        <v>35</v>
      </c>
      <c r="G84" s="6">
        <v>3673.7400000000002</v>
      </c>
      <c r="H84" s="5">
        <v>8.3346991701244804</v>
      </c>
      <c r="I84" s="4">
        <f t="shared" si="24"/>
        <v>9.5270759498494711E-3</v>
      </c>
      <c r="J84" s="4">
        <f t="shared" si="25"/>
        <v>0.43740983303118891</v>
      </c>
      <c r="K84" s="5">
        <f t="shared" si="26"/>
        <v>14.230354038647677</v>
      </c>
    </row>
    <row r="85" spans="1:23" x14ac:dyDescent="0.3">
      <c r="B85" s="2" t="s">
        <v>17</v>
      </c>
      <c r="C85" s="2">
        <v>2019</v>
      </c>
      <c r="D85" s="8">
        <v>1968.44</v>
      </c>
      <c r="E85" s="8">
        <v>12368.9</v>
      </c>
      <c r="F85" s="8">
        <v>53</v>
      </c>
      <c r="G85" s="6">
        <v>1918.8700000000001</v>
      </c>
      <c r="H85" s="5">
        <v>10.209751037344398</v>
      </c>
      <c r="I85" s="4">
        <f t="shared" si="24"/>
        <v>2.7620422436121256E-2</v>
      </c>
      <c r="J85" s="4">
        <f t="shared" si="25"/>
        <v>1.0258329120784628</v>
      </c>
      <c r="K85" s="5">
        <f t="shared" si="26"/>
        <v>15.914430547583052</v>
      </c>
    </row>
    <row r="86" spans="1:23" x14ac:dyDescent="0.3">
      <c r="B86" s="2" t="s">
        <v>17</v>
      </c>
      <c r="C86" s="2">
        <v>2020</v>
      </c>
      <c r="D86" s="8">
        <v>2082.4299999999998</v>
      </c>
      <c r="E86" s="8">
        <v>13350.03</v>
      </c>
      <c r="F86" s="8">
        <v>32</v>
      </c>
      <c r="G86" s="6">
        <v>2019.3400000000001</v>
      </c>
      <c r="H86" s="5">
        <v>10.800985477178422</v>
      </c>
      <c r="I86" s="4">
        <f t="shared" si="24"/>
        <v>1.584676181326572E-2</v>
      </c>
      <c r="J86" s="4">
        <f t="shared" si="25"/>
        <v>1.0312428813374666</v>
      </c>
      <c r="K86" s="5">
        <f t="shared" si="26"/>
        <v>15.598691538520884</v>
      </c>
    </row>
    <row r="87" spans="1:23" x14ac:dyDescent="0.3">
      <c r="B87" s="2" t="s">
        <v>17</v>
      </c>
      <c r="C87" s="2">
        <v>2021</v>
      </c>
      <c r="D87" s="8">
        <v>2118.41</v>
      </c>
      <c r="E87" s="8">
        <v>14740.59</v>
      </c>
      <c r="F87" s="8">
        <v>27</v>
      </c>
      <c r="G87" s="6">
        <v>1946.38</v>
      </c>
      <c r="H87" s="5">
        <v>10.987603734439833</v>
      </c>
      <c r="I87" s="4">
        <f t="shared" si="24"/>
        <v>1.3871905794346428E-2</v>
      </c>
      <c r="J87" s="4">
        <f t="shared" si="25"/>
        <v>1.0883845908815337</v>
      </c>
      <c r="K87" s="5">
        <f t="shared" si="26"/>
        <v>14.371270078063361</v>
      </c>
    </row>
    <row r="88" spans="1:23" x14ac:dyDescent="0.3">
      <c r="B88" s="2" t="s">
        <v>17</v>
      </c>
      <c r="C88" s="2">
        <v>2022</v>
      </c>
      <c r="D88" s="8">
        <v>2390.52</v>
      </c>
      <c r="E88" s="8">
        <v>16896.96</v>
      </c>
      <c r="F88" s="8">
        <v>27</v>
      </c>
      <c r="G88" s="6">
        <v>2459.17</v>
      </c>
      <c r="H88" s="5">
        <v>12.398962655601659</v>
      </c>
      <c r="I88" s="4">
        <f t="shared" si="24"/>
        <v>1.0979314158842211E-2</v>
      </c>
      <c r="J88" s="4">
        <f t="shared" si="25"/>
        <v>0.97208407714798084</v>
      </c>
      <c r="K88" s="5">
        <f t="shared" si="26"/>
        <v>14.14763365717857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x14ac:dyDescent="0.3">
      <c r="B89" s="2" t="s">
        <v>17</v>
      </c>
      <c r="C89" s="2">
        <v>2023</v>
      </c>
      <c r="D89" s="8">
        <v>2998.67</v>
      </c>
      <c r="E89" s="8">
        <v>19126.3</v>
      </c>
      <c r="F89" s="8">
        <v>27</v>
      </c>
      <c r="G89" s="6">
        <v>2459.17</v>
      </c>
      <c r="H89" s="5">
        <v>15.553267634854771</v>
      </c>
      <c r="I89" s="4">
        <f t="shared" si="24"/>
        <v>1.0979314158842211E-2</v>
      </c>
      <c r="J89" s="4">
        <f t="shared" si="25"/>
        <v>1.2193829625442731</v>
      </c>
      <c r="K89" s="5">
        <f t="shared" si="26"/>
        <v>15.678254550017517</v>
      </c>
    </row>
    <row r="90" spans="1:23" x14ac:dyDescent="0.3">
      <c r="B90" s="2" t="s">
        <v>17</v>
      </c>
      <c r="C90" s="2">
        <v>2024</v>
      </c>
      <c r="D90" s="8">
        <v>3932.84</v>
      </c>
      <c r="E90" s="8">
        <v>24393.89</v>
      </c>
      <c r="F90" s="8">
        <v>25</v>
      </c>
      <c r="G90" s="6">
        <v>3340.89</v>
      </c>
      <c r="H90" s="5">
        <v>20.395374163771198</v>
      </c>
      <c r="I90" s="4">
        <f t="shared" si="24"/>
        <v>7.4830359574843833E-3</v>
      </c>
      <c r="J90" s="4">
        <f t="shared" si="25"/>
        <v>1.1771833254013153</v>
      </c>
      <c r="K90" s="5">
        <f t="shared" si="26"/>
        <v>16.122233887256197</v>
      </c>
    </row>
    <row r="91" spans="1:23" x14ac:dyDescent="0.3">
      <c r="B91" s="2" t="s">
        <v>17</v>
      </c>
      <c r="C91" s="2">
        <v>2025</v>
      </c>
      <c r="D91" s="8">
        <v>3314.5</v>
      </c>
      <c r="E91" s="8">
        <v>20201.560000000001</v>
      </c>
      <c r="F91" s="8">
        <v>22</v>
      </c>
      <c r="G91" s="6">
        <v>4117.1499999999996</v>
      </c>
      <c r="H91" s="5">
        <v>17.188715448840949</v>
      </c>
      <c r="I91" s="4">
        <f t="shared" si="24"/>
        <v>5.3435021799060033E-3</v>
      </c>
      <c r="J91" s="4">
        <f t="shared" si="25"/>
        <v>0.80504718069538406</v>
      </c>
      <c r="K91" s="5">
        <f t="shared" si="26"/>
        <v>16.407148754848635</v>
      </c>
    </row>
    <row r="92" spans="1:23" x14ac:dyDescent="0.3">
      <c r="A92">
        <v>10</v>
      </c>
      <c r="B92" s="2" t="s">
        <v>18</v>
      </c>
      <c r="C92" s="2">
        <v>2016</v>
      </c>
      <c r="D92" s="8">
        <v>29745</v>
      </c>
      <c r="E92" s="8">
        <v>272583</v>
      </c>
      <c r="F92" s="8">
        <v>154957</v>
      </c>
      <c r="G92" s="6">
        <v>231556</v>
      </c>
      <c r="H92" s="5">
        <v>21.514125764874365</v>
      </c>
      <c r="I92" s="4">
        <f t="shared" ref="I92:I101" si="27">F92/G92</f>
        <v>0.66919881151859595</v>
      </c>
      <c r="J92" s="4">
        <f t="shared" ref="J92:J101" si="28">D92/G92</f>
        <v>0.12845704710739519</v>
      </c>
      <c r="K92" s="5">
        <f t="shared" ref="K92:K101" si="29">(D92/E92)*100</f>
        <v>10.912272592201274</v>
      </c>
      <c r="L92" s="4">
        <f>AVERAGE(J92:J101)</f>
        <v>9.6619537641952594E-2</v>
      </c>
    </row>
    <row r="93" spans="1:23" x14ac:dyDescent="0.3">
      <c r="B93" s="2" t="s">
        <v>18</v>
      </c>
      <c r="C93" s="2">
        <v>2017</v>
      </c>
      <c r="D93" s="8">
        <v>29901</v>
      </c>
      <c r="E93" s="8">
        <v>303954</v>
      </c>
      <c r="F93" s="8">
        <v>172285</v>
      </c>
      <c r="G93" s="6">
        <v>263709</v>
      </c>
      <c r="H93" s="5">
        <v>21.554620031429767</v>
      </c>
      <c r="I93" s="4">
        <f t="shared" si="27"/>
        <v>0.65331482808702013</v>
      </c>
      <c r="J93" s="4">
        <f t="shared" si="28"/>
        <v>0.11338634631355016</v>
      </c>
      <c r="K93" s="5">
        <f t="shared" si="29"/>
        <v>9.8373438086026184</v>
      </c>
    </row>
    <row r="94" spans="1:23" x14ac:dyDescent="0.3">
      <c r="B94" s="2" t="s">
        <v>18</v>
      </c>
      <c r="C94" s="2">
        <v>2018</v>
      </c>
      <c r="D94" s="8">
        <v>36075</v>
      </c>
      <c r="E94" s="8">
        <v>390823</v>
      </c>
      <c r="F94" s="8">
        <v>164385</v>
      </c>
      <c r="G94" s="6">
        <v>293506</v>
      </c>
      <c r="H94" s="5">
        <v>26.694736530535224</v>
      </c>
      <c r="I94" s="4">
        <f t="shared" si="27"/>
        <v>0.56007372932750954</v>
      </c>
      <c r="J94" s="4">
        <f t="shared" si="28"/>
        <v>0.12291060489393743</v>
      </c>
      <c r="K94" s="5">
        <f t="shared" si="29"/>
        <v>9.2305212333972158</v>
      </c>
    </row>
    <row r="95" spans="1:23" x14ac:dyDescent="0.3">
      <c r="B95" s="2" t="s">
        <v>18</v>
      </c>
      <c r="C95" s="2">
        <v>2019</v>
      </c>
      <c r="D95" s="8">
        <v>39588</v>
      </c>
      <c r="E95" s="8">
        <v>568337</v>
      </c>
      <c r="F95" s="8">
        <v>226345</v>
      </c>
      <c r="G95" s="6">
        <v>387112</v>
      </c>
      <c r="H95" s="5">
        <v>29.275435197373287</v>
      </c>
      <c r="I95" s="4">
        <f t="shared" si="27"/>
        <v>0.58470158507098724</v>
      </c>
      <c r="J95" s="4">
        <f t="shared" si="28"/>
        <v>0.10226497757754861</v>
      </c>
      <c r="K95" s="5">
        <f t="shared" si="29"/>
        <v>6.9655855592720517</v>
      </c>
    </row>
    <row r="96" spans="1:23" x14ac:dyDescent="0.3">
      <c r="B96" s="2" t="s">
        <v>18</v>
      </c>
      <c r="C96" s="2">
        <v>2020</v>
      </c>
      <c r="D96" s="8">
        <v>39354</v>
      </c>
      <c r="E96" s="8">
        <v>596679</v>
      </c>
      <c r="F96" s="8">
        <v>216470</v>
      </c>
      <c r="G96" s="6">
        <v>449166</v>
      </c>
      <c r="H96" s="5">
        <v>29.100024401606071</v>
      </c>
      <c r="I96" s="4">
        <f t="shared" si="27"/>
        <v>0.48193763552895813</v>
      </c>
      <c r="J96" s="4">
        <f t="shared" si="28"/>
        <v>8.7615714457461163E-2</v>
      </c>
      <c r="K96" s="5">
        <f t="shared" si="29"/>
        <v>6.5955061264096777</v>
      </c>
    </row>
    <row r="97" spans="1:22" x14ac:dyDescent="0.3">
      <c r="B97" s="2" t="s">
        <v>18</v>
      </c>
      <c r="C97" s="2">
        <v>2021</v>
      </c>
      <c r="D97" s="8">
        <v>49128</v>
      </c>
      <c r="E97" s="8">
        <v>466307</v>
      </c>
      <c r="F97" s="8">
        <v>182520</v>
      </c>
      <c r="G97" s="6">
        <v>700172</v>
      </c>
      <c r="H97" s="5">
        <v>38.747840901024531</v>
      </c>
      <c r="I97" s="4">
        <f t="shared" si="27"/>
        <v>0.260678804636575</v>
      </c>
      <c r="J97" s="4">
        <f t="shared" si="28"/>
        <v>7.0165616448529797E-2</v>
      </c>
      <c r="K97" s="5">
        <f t="shared" si="29"/>
        <v>10.535548469141574</v>
      </c>
    </row>
    <row r="98" spans="1:22" x14ac:dyDescent="0.3">
      <c r="B98" s="2" t="s">
        <v>18</v>
      </c>
      <c r="C98" s="2">
        <v>2022</v>
      </c>
      <c r="D98" s="8">
        <v>60705</v>
      </c>
      <c r="E98" s="8">
        <v>694673</v>
      </c>
      <c r="F98" s="8">
        <v>224883</v>
      </c>
      <c r="G98" s="6">
        <v>779485</v>
      </c>
      <c r="H98" s="5">
        <v>44.867625537701961</v>
      </c>
      <c r="I98" s="4">
        <f t="shared" si="27"/>
        <v>0.28850202377210593</v>
      </c>
      <c r="J98" s="4">
        <f t="shared" si="28"/>
        <v>7.787834275194519E-2</v>
      </c>
      <c r="K98" s="5">
        <f t="shared" si="29"/>
        <v>8.7386439375072875</v>
      </c>
    </row>
    <row r="99" spans="1:22" x14ac:dyDescent="0.3">
      <c r="B99" s="2" t="s">
        <v>18</v>
      </c>
      <c r="C99" s="2">
        <v>2023</v>
      </c>
      <c r="D99" s="8">
        <v>66702</v>
      </c>
      <c r="E99" s="8">
        <v>876396</v>
      </c>
      <c r="F99" s="8">
        <v>296023</v>
      </c>
      <c r="G99" s="6">
        <v>715872</v>
      </c>
      <c r="H99" s="5">
        <v>49.294962752749207</v>
      </c>
      <c r="I99" s="4">
        <f t="shared" si="27"/>
        <v>0.41351386840105492</v>
      </c>
      <c r="J99" s="4">
        <f t="shared" si="28"/>
        <v>9.3175875016762777E-2</v>
      </c>
      <c r="K99" s="5">
        <f t="shared" si="29"/>
        <v>7.6109429983706001</v>
      </c>
    </row>
    <row r="100" spans="1:22" x14ac:dyDescent="0.3">
      <c r="B100" s="2" t="s">
        <v>18</v>
      </c>
      <c r="C100" s="2">
        <v>2024</v>
      </c>
      <c r="D100" s="8">
        <v>69621</v>
      </c>
      <c r="E100" s="8">
        <v>899041</v>
      </c>
      <c r="F100" s="8">
        <v>222712</v>
      </c>
      <c r="G100" s="6">
        <v>793481</v>
      </c>
      <c r="H100" s="5">
        <v>51.45143887550438</v>
      </c>
      <c r="I100" s="4">
        <f t="shared" si="27"/>
        <v>0.28067716807333759</v>
      </c>
      <c r="J100" s="4">
        <f t="shared" si="28"/>
        <v>8.7741231359036956E-2</v>
      </c>
      <c r="K100" s="5">
        <f t="shared" si="29"/>
        <v>7.7439182417709542</v>
      </c>
    </row>
    <row r="101" spans="1:22" x14ac:dyDescent="0.3">
      <c r="B101" s="2" t="s">
        <v>18</v>
      </c>
      <c r="C101" s="2">
        <v>2025</v>
      </c>
      <c r="D101" s="2">
        <v>69648</v>
      </c>
      <c r="E101" s="2">
        <v>962820</v>
      </c>
      <c r="F101" s="8">
        <v>236899</v>
      </c>
      <c r="G101" s="6">
        <v>843200</v>
      </c>
      <c r="H101" s="5">
        <v>51.467588897756492</v>
      </c>
      <c r="I101" s="4">
        <f t="shared" si="27"/>
        <v>0.28095232447817836</v>
      </c>
      <c r="J101" s="4">
        <f t="shared" si="28"/>
        <v>8.259962049335863E-2</v>
      </c>
      <c r="K101" s="5">
        <f t="shared" si="29"/>
        <v>7.2337508568579807</v>
      </c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1:22" x14ac:dyDescent="0.3">
      <c r="A102">
        <v>11</v>
      </c>
      <c r="B102" s="2" t="s">
        <v>19</v>
      </c>
      <c r="C102" s="2">
        <v>2016</v>
      </c>
      <c r="D102" s="8">
        <v>12875.21</v>
      </c>
      <c r="E102" s="8">
        <v>124035.71</v>
      </c>
      <c r="F102" s="8">
        <v>40229</v>
      </c>
      <c r="G102" s="6">
        <v>197813.64</v>
      </c>
      <c r="H102" s="5">
        <v>10.032735405043169</v>
      </c>
      <c r="I102" s="4">
        <f>F102/G102</f>
        <v>0.20336818027310957</v>
      </c>
      <c r="J102" s="4">
        <f>D102/G102</f>
        <v>6.5087574345227148E-2</v>
      </c>
      <c r="K102" s="5">
        <f>(D102/E102)*100</f>
        <v>10.380244527966985</v>
      </c>
      <c r="L102" s="4">
        <f>AVERAGE(J102:J111)</f>
        <v>0.11184441108093965</v>
      </c>
    </row>
    <row r="103" spans="1:22" x14ac:dyDescent="0.3">
      <c r="B103" s="2" t="s">
        <v>19</v>
      </c>
      <c r="C103" s="2">
        <v>2017</v>
      </c>
      <c r="D103" s="8">
        <v>24419.25</v>
      </c>
      <c r="E103" s="8">
        <v>282506.11</v>
      </c>
      <c r="F103" s="8">
        <v>52772</v>
      </c>
      <c r="G103" s="6">
        <v>194385.22</v>
      </c>
      <c r="H103" s="5">
        <v>19.028184708412557</v>
      </c>
      <c r="I103" s="4">
        <f t="shared" ref="I103:I111" si="30">F103/G103</f>
        <v>0.27148154576772865</v>
      </c>
      <c r="J103" s="4">
        <f t="shared" ref="J103:J111" si="31">D103/G103</f>
        <v>0.12562297689093851</v>
      </c>
      <c r="K103" s="5">
        <f t="shared" ref="K103:K111" si="32">(D103/E103)*100</f>
        <v>8.6437953501253482</v>
      </c>
    </row>
    <row r="104" spans="1:22" x14ac:dyDescent="0.3">
      <c r="B104" s="2" t="s">
        <v>19</v>
      </c>
      <c r="C104" s="2">
        <v>2018</v>
      </c>
      <c r="D104" s="8">
        <v>22105.93</v>
      </c>
      <c r="E104" s="8">
        <v>322705.76</v>
      </c>
      <c r="F104" s="8">
        <v>55025</v>
      </c>
      <c r="G104" s="6">
        <v>204018.93</v>
      </c>
      <c r="H104" s="5">
        <v>17.225578967054204</v>
      </c>
      <c r="I104" s="4">
        <f t="shared" si="30"/>
        <v>0.26970536508548498</v>
      </c>
      <c r="J104" s="4">
        <f t="shared" si="31"/>
        <v>0.10835234750030304</v>
      </c>
      <c r="K104" s="5">
        <f t="shared" si="32"/>
        <v>6.8501814160367021</v>
      </c>
    </row>
    <row r="105" spans="1:22" x14ac:dyDescent="0.3">
      <c r="B105" s="2" t="s">
        <v>19</v>
      </c>
      <c r="C105" s="2">
        <v>2019</v>
      </c>
      <c r="D105" s="8">
        <v>30546.04</v>
      </c>
      <c r="E105" s="8">
        <v>421623.93</v>
      </c>
      <c r="F105" s="8">
        <v>52168</v>
      </c>
      <c r="G105" s="6">
        <v>216934.65</v>
      </c>
      <c r="H105" s="5">
        <v>24.280851807985503</v>
      </c>
      <c r="I105" s="4">
        <f t="shared" si="30"/>
        <v>0.24047795038736319</v>
      </c>
      <c r="J105" s="4">
        <f t="shared" si="31"/>
        <v>0.14080756578075471</v>
      </c>
      <c r="K105" s="5">
        <f t="shared" si="32"/>
        <v>7.2448544369860608</v>
      </c>
    </row>
    <row r="106" spans="1:22" x14ac:dyDescent="0.3">
      <c r="B106" s="2" t="s">
        <v>19</v>
      </c>
      <c r="C106" s="2">
        <v>2020</v>
      </c>
      <c r="D106" s="8">
        <v>10803.6</v>
      </c>
      <c r="E106" s="8">
        <v>396727.91</v>
      </c>
      <c r="F106" s="8">
        <v>72932</v>
      </c>
      <c r="G106" s="6">
        <v>205104.6</v>
      </c>
      <c r="H106" s="5">
        <v>8.5877125346772338</v>
      </c>
      <c r="I106" s="4">
        <f t="shared" si="30"/>
        <v>0.35558441887700226</v>
      </c>
      <c r="J106" s="4">
        <f t="shared" si="31"/>
        <v>5.2673611415833675E-2</v>
      </c>
      <c r="K106" s="5">
        <f t="shared" si="32"/>
        <v>2.7231761939814119</v>
      </c>
    </row>
    <row r="107" spans="1:22" x14ac:dyDescent="0.3">
      <c r="B107" s="2" t="s">
        <v>19</v>
      </c>
      <c r="C107" s="2">
        <v>2021</v>
      </c>
      <c r="D107" s="8">
        <v>16304.4</v>
      </c>
      <c r="E107" s="8">
        <v>303848.90999999997</v>
      </c>
      <c r="F107" s="8">
        <v>79162</v>
      </c>
      <c r="G107" s="6">
        <v>220980.99000000002</v>
      </c>
      <c r="H107" s="5">
        <v>12.960263268761476</v>
      </c>
      <c r="I107" s="4">
        <f t="shared" si="30"/>
        <v>0.35822990927862164</v>
      </c>
      <c r="J107" s="4">
        <f t="shared" si="31"/>
        <v>7.3781912190727342E-2</v>
      </c>
      <c r="K107" s="5">
        <f t="shared" si="32"/>
        <v>5.3659563893120437</v>
      </c>
    </row>
    <row r="108" spans="1:22" x14ac:dyDescent="0.3">
      <c r="B108" s="2" t="s">
        <v>19</v>
      </c>
      <c r="C108" s="2">
        <v>2022</v>
      </c>
      <c r="D108" s="8">
        <v>45522.11</v>
      </c>
      <c r="E108" s="8">
        <v>491246.24</v>
      </c>
      <c r="F108" s="8">
        <v>88043</v>
      </c>
      <c r="G108" s="6">
        <v>259502.91</v>
      </c>
      <c r="H108" s="5">
        <v>36.18523405642155</v>
      </c>
      <c r="I108" s="4">
        <f t="shared" si="30"/>
        <v>0.33927557883647624</v>
      </c>
      <c r="J108" s="4">
        <f t="shared" si="31"/>
        <v>0.17542042206771399</v>
      </c>
      <c r="K108" s="5">
        <f t="shared" si="32"/>
        <v>9.2666582038368368</v>
      </c>
    </row>
    <row r="109" spans="1:22" x14ac:dyDescent="0.3">
      <c r="B109" s="2" t="s">
        <v>19</v>
      </c>
      <c r="C109" s="2">
        <v>2023</v>
      </c>
      <c r="D109" s="8">
        <v>35440.480000000003</v>
      </c>
      <c r="E109" s="8">
        <v>632291.18000000005</v>
      </c>
      <c r="F109" s="8">
        <v>98360</v>
      </c>
      <c r="G109" s="6">
        <v>280647.3</v>
      </c>
      <c r="H109" s="5">
        <v>28.171410856656841</v>
      </c>
      <c r="I109" s="4">
        <f t="shared" si="30"/>
        <v>0.35047549005459877</v>
      </c>
      <c r="J109" s="4">
        <f t="shared" si="31"/>
        <v>0.12628120776504889</v>
      </c>
      <c r="K109" s="5">
        <f t="shared" si="32"/>
        <v>5.6050884657287172</v>
      </c>
    </row>
    <row r="110" spans="1:22" x14ac:dyDescent="0.3">
      <c r="B110" s="2" t="s">
        <v>19</v>
      </c>
      <c r="C110" s="2">
        <v>2024</v>
      </c>
      <c r="D110" s="8">
        <v>49143.93</v>
      </c>
      <c r="E110" s="8">
        <v>601580.88</v>
      </c>
      <c r="F110" s="8">
        <v>96971</v>
      </c>
      <c r="G110" s="6">
        <v>339068.88</v>
      </c>
      <c r="H110" s="5">
        <v>39.06419560741795</v>
      </c>
      <c r="I110" s="4">
        <f t="shared" si="30"/>
        <v>0.2859920379599567</v>
      </c>
      <c r="J110" s="4">
        <f t="shared" si="31"/>
        <v>0.14493789580453387</v>
      </c>
      <c r="K110" s="5">
        <f t="shared" si="32"/>
        <v>8.1691309737104678</v>
      </c>
    </row>
    <row r="111" spans="1:22" x14ac:dyDescent="0.3">
      <c r="B111" s="2" t="s">
        <v>19</v>
      </c>
      <c r="C111" s="2">
        <v>2025</v>
      </c>
      <c r="D111" s="8">
        <v>36225.620000000003</v>
      </c>
      <c r="E111" s="8">
        <v>612065.37</v>
      </c>
      <c r="F111" s="8">
        <v>98474</v>
      </c>
      <c r="G111" s="6">
        <v>343440.48000000004</v>
      </c>
      <c r="H111" s="5">
        <v>28.7955136205019</v>
      </c>
      <c r="I111" s="4">
        <f t="shared" si="30"/>
        <v>0.28672799432379081</v>
      </c>
      <c r="J111" s="4">
        <f t="shared" si="31"/>
        <v>0.10547859704831533</v>
      </c>
      <c r="K111" s="5">
        <f t="shared" si="32"/>
        <v>5.9185867679460449</v>
      </c>
    </row>
    <row r="112" spans="1:22" x14ac:dyDescent="0.3">
      <c r="A112">
        <v>12</v>
      </c>
      <c r="B112" s="2" t="s">
        <v>20</v>
      </c>
      <c r="C112" s="2">
        <v>2016</v>
      </c>
      <c r="D112" s="8">
        <v>10801.15</v>
      </c>
      <c r="E112" s="8">
        <v>73396.320000000007</v>
      </c>
      <c r="F112" s="8">
        <v>91205</v>
      </c>
      <c r="G112" s="6">
        <v>91575.579999999987</v>
      </c>
      <c r="H112" s="5">
        <v>10.91620681988155</v>
      </c>
      <c r="I112" s="4">
        <f>F112/G112</f>
        <v>0.99595328798354332</v>
      </c>
      <c r="J112" s="4">
        <f>D112/G112</f>
        <v>0.11794792891292637</v>
      </c>
      <c r="K112" s="5">
        <f>(D112/E112)*100</f>
        <v>14.716201030242388</v>
      </c>
      <c r="L112" s="4">
        <f>AVERAGE(J112:J121)</f>
        <v>0.11616492859210666</v>
      </c>
    </row>
    <row r="113" spans="1:24" x14ac:dyDescent="0.3">
      <c r="B113" s="2" t="s">
        <v>20</v>
      </c>
      <c r="C113" s="2">
        <v>2017</v>
      </c>
      <c r="D113" s="8">
        <v>10719.64</v>
      </c>
      <c r="E113" s="8">
        <v>82042.490000000005</v>
      </c>
      <c r="F113" s="8">
        <v>104075</v>
      </c>
      <c r="G113" s="6">
        <v>97838.01999999999</v>
      </c>
      <c r="H113" s="5">
        <v>10.833828552948072</v>
      </c>
      <c r="I113" s="4">
        <f t="shared" ref="I113:I121" si="33">F113/G113</f>
        <v>1.0637480194304834</v>
      </c>
      <c r="J113" s="4">
        <f t="shared" ref="J113:J121" si="34">D113/G113</f>
        <v>0.10956517721842696</v>
      </c>
      <c r="K113" s="5">
        <f t="shared" ref="K113:K121" si="35">(D113/E113)*100</f>
        <v>13.065961308585342</v>
      </c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spans="1:24" x14ac:dyDescent="0.3">
      <c r="B114" s="2" t="s">
        <v>20</v>
      </c>
      <c r="C114" s="2">
        <v>2018</v>
      </c>
      <c r="D114" s="8">
        <v>10543.95</v>
      </c>
      <c r="E114" s="8">
        <v>88083.31</v>
      </c>
      <c r="F114" s="8">
        <v>116776</v>
      </c>
      <c r="G114" s="6">
        <v>103563.47</v>
      </c>
      <c r="H114" s="5">
        <v>10.656267054757141</v>
      </c>
      <c r="I114" s="4">
        <f t="shared" si="33"/>
        <v>1.1275790585232419</v>
      </c>
      <c r="J114" s="4">
        <f t="shared" si="34"/>
        <v>0.10181147850685189</v>
      </c>
      <c r="K114" s="5">
        <f t="shared" si="35"/>
        <v>11.970428904181736</v>
      </c>
    </row>
    <row r="115" spans="1:24" x14ac:dyDescent="0.3">
      <c r="B115" s="2" t="s">
        <v>20</v>
      </c>
      <c r="C115" s="2">
        <v>2019</v>
      </c>
      <c r="D115" s="8">
        <v>13736.68</v>
      </c>
      <c r="E115" s="8">
        <v>100286.54</v>
      </c>
      <c r="F115" s="8">
        <v>147064</v>
      </c>
      <c r="G115" s="6">
        <v>111356.20999999999</v>
      </c>
      <c r="H115" s="5">
        <v>13.883006892648515</v>
      </c>
      <c r="I115" s="4">
        <f t="shared" si="33"/>
        <v>1.3206627632172467</v>
      </c>
      <c r="J115" s="4">
        <f t="shared" si="34"/>
        <v>0.12335800580856696</v>
      </c>
      <c r="K115" s="5">
        <f t="shared" si="35"/>
        <v>13.697431380123396</v>
      </c>
    </row>
    <row r="116" spans="1:24" x14ac:dyDescent="0.3">
      <c r="B116" s="2" t="s">
        <v>20</v>
      </c>
      <c r="C116" s="2">
        <v>2020</v>
      </c>
      <c r="D116" s="8">
        <v>11600.23</v>
      </c>
      <c r="E116" s="8">
        <v>109464.04</v>
      </c>
      <c r="F116" s="8">
        <v>176020</v>
      </c>
      <c r="G116" s="6">
        <v>118839.16</v>
      </c>
      <c r="H116" s="5">
        <v>11.723798839771188</v>
      </c>
      <c r="I116" s="4">
        <f t="shared" si="33"/>
        <v>1.4811615969012235</v>
      </c>
      <c r="J116" s="4">
        <f t="shared" si="34"/>
        <v>9.7612857579942494E-2</v>
      </c>
      <c r="K116" s="5">
        <f t="shared" si="35"/>
        <v>10.597297523460673</v>
      </c>
    </row>
    <row r="117" spans="1:24" x14ac:dyDescent="0.3">
      <c r="B117" s="2" t="s">
        <v>20</v>
      </c>
      <c r="C117" s="2">
        <v>2021</v>
      </c>
      <c r="D117" s="8">
        <v>14634.63</v>
      </c>
      <c r="E117" s="8">
        <v>111531.15</v>
      </c>
      <c r="F117" s="8">
        <v>180536</v>
      </c>
      <c r="G117" s="6">
        <v>125738.47</v>
      </c>
      <c r="H117" s="5">
        <v>15.092381944372828</v>
      </c>
      <c r="I117" s="4">
        <f t="shared" si="33"/>
        <v>1.4358056050785413</v>
      </c>
      <c r="J117" s="4">
        <f t="shared" si="34"/>
        <v>0.11638943912710246</v>
      </c>
      <c r="K117" s="5">
        <f t="shared" si="35"/>
        <v>13.121562899692149</v>
      </c>
    </row>
    <row r="118" spans="1:24" x14ac:dyDescent="0.3">
      <c r="B118" s="2" t="s">
        <v>20</v>
      </c>
      <c r="C118" s="2">
        <v>2022</v>
      </c>
      <c r="D118" s="8">
        <v>16675.900000000001</v>
      </c>
      <c r="E118" s="8">
        <v>132669.28</v>
      </c>
      <c r="F118" s="8">
        <v>181871</v>
      </c>
      <c r="G118" s="6">
        <v>135373.74000000002</v>
      </c>
      <c r="H118" s="5">
        <v>17.197500180473771</v>
      </c>
      <c r="I118" s="4">
        <f t="shared" si="33"/>
        <v>1.3434732615055178</v>
      </c>
      <c r="J118" s="4">
        <f t="shared" si="34"/>
        <v>0.12318415669095054</v>
      </c>
      <c r="K118" s="5">
        <f t="shared" si="35"/>
        <v>12.569526268628278</v>
      </c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 x14ac:dyDescent="0.3">
      <c r="B119" s="2" t="s">
        <v>20</v>
      </c>
      <c r="C119" s="2">
        <v>2023</v>
      </c>
      <c r="D119" s="8">
        <v>16912.55</v>
      </c>
      <c r="E119" s="8">
        <v>176207.18</v>
      </c>
      <c r="F119" s="8">
        <v>187884</v>
      </c>
      <c r="G119" s="6">
        <v>147023.17000000001</v>
      </c>
      <c r="H119" s="5">
        <v>17.441552280672806</v>
      </c>
      <c r="I119" s="4">
        <f t="shared" si="33"/>
        <v>1.2779210242848116</v>
      </c>
      <c r="J119" s="4">
        <f t="shared" si="34"/>
        <v>0.11503322911619983</v>
      </c>
      <c r="K119" s="5">
        <f t="shared" si="35"/>
        <v>9.5981049126374991</v>
      </c>
    </row>
    <row r="120" spans="1:24" x14ac:dyDescent="0.3">
      <c r="B120" s="2" t="s">
        <v>20</v>
      </c>
      <c r="C120" s="2">
        <v>2024</v>
      </c>
      <c r="D120" s="8">
        <v>20811.89</v>
      </c>
      <c r="E120" s="8">
        <v>178524.79999999999</v>
      </c>
      <c r="F120" s="8">
        <v>190215</v>
      </c>
      <c r="G120" s="6">
        <v>160709.27000000002</v>
      </c>
      <c r="H120" s="5">
        <v>21.462858498251983</v>
      </c>
      <c r="I120" s="4">
        <f t="shared" si="33"/>
        <v>1.1835969387453504</v>
      </c>
      <c r="J120" s="4">
        <f t="shared" si="34"/>
        <v>0.12950024600323304</v>
      </c>
      <c r="K120" s="5">
        <f t="shared" si="35"/>
        <v>11.657702459266165</v>
      </c>
    </row>
    <row r="121" spans="1:24" x14ac:dyDescent="0.3">
      <c r="B121" s="2" t="s">
        <v>20</v>
      </c>
      <c r="C121" s="2">
        <v>2025</v>
      </c>
      <c r="D121" s="8">
        <v>23422.46</v>
      </c>
      <c r="E121" s="8">
        <v>188138.06</v>
      </c>
      <c r="F121" s="8">
        <v>201054</v>
      </c>
      <c r="G121" s="6">
        <v>184071.16</v>
      </c>
      <c r="H121" s="5">
        <v>24.15508368826508</v>
      </c>
      <c r="I121" s="4">
        <f t="shared" si="33"/>
        <v>1.0922623620126042</v>
      </c>
      <c r="J121" s="4">
        <f t="shared" si="34"/>
        <v>0.12724676695686601</v>
      </c>
      <c r="K121" s="5">
        <f t="shared" si="35"/>
        <v>12.449612800302075</v>
      </c>
    </row>
    <row r="122" spans="1:24" x14ac:dyDescent="0.3">
      <c r="A122">
        <v>13</v>
      </c>
      <c r="B122" s="2" t="s">
        <v>21</v>
      </c>
      <c r="C122" s="2">
        <v>2016</v>
      </c>
      <c r="D122" s="8">
        <v>11579.31</v>
      </c>
      <c r="E122" s="8">
        <v>273045.59999999998</v>
      </c>
      <c r="F122" s="8">
        <v>50510</v>
      </c>
      <c r="G122" s="6">
        <v>78952.409999999989</v>
      </c>
      <c r="H122" s="5">
        <v>40.105673316708227</v>
      </c>
      <c r="I122" s="4">
        <f>F122/G122</f>
        <v>0.63975247874004104</v>
      </c>
      <c r="J122" s="4">
        <f>D122/G122</f>
        <v>0.14666189417143824</v>
      </c>
      <c r="K122" s="5">
        <f>(D122/E122)*100</f>
        <v>4.2407971415763521</v>
      </c>
      <c r="L122" s="4">
        <f>AVERAGE(J122:J131)</f>
        <v>-1.387156251328312E-2</v>
      </c>
    </row>
    <row r="123" spans="1:24" x14ac:dyDescent="0.3">
      <c r="B123" s="2" t="s">
        <v>21</v>
      </c>
      <c r="C123" s="2">
        <v>2017</v>
      </c>
      <c r="D123" s="8">
        <v>7454.36</v>
      </c>
      <c r="E123" s="8">
        <v>269692.51</v>
      </c>
      <c r="F123" s="8">
        <v>60629</v>
      </c>
      <c r="G123" s="6">
        <v>58061.89</v>
      </c>
      <c r="H123" s="5">
        <v>25.817753610639695</v>
      </c>
      <c r="I123" s="4">
        <f t="shared" ref="I123:I131" si="36">F123/G123</f>
        <v>1.0442133385599401</v>
      </c>
      <c r="J123" s="4">
        <f t="shared" ref="J123:J131" si="37">D123/G123</f>
        <v>0.1283864510783235</v>
      </c>
      <c r="K123" s="5">
        <f t="shared" ref="K123:K131" si="38">(D123/E123)*100</f>
        <v>2.764021885516954</v>
      </c>
    </row>
    <row r="124" spans="1:24" x14ac:dyDescent="0.3">
      <c r="B124" s="2" t="s">
        <v>21</v>
      </c>
      <c r="C124" s="2">
        <v>2018</v>
      </c>
      <c r="D124" s="8">
        <v>8988.91</v>
      </c>
      <c r="E124" s="8">
        <v>291550.48</v>
      </c>
      <c r="F124" s="8">
        <v>61200</v>
      </c>
      <c r="G124" s="6">
        <v>95427.91</v>
      </c>
      <c r="H124" s="5">
        <v>31.132580611644094</v>
      </c>
      <c r="I124" s="4">
        <f t="shared" si="36"/>
        <v>0.6413218103592544</v>
      </c>
      <c r="J124" s="4">
        <f t="shared" si="37"/>
        <v>9.4195817554843228E-2</v>
      </c>
      <c r="K124" s="5">
        <f t="shared" si="38"/>
        <v>3.0831401821049997</v>
      </c>
    </row>
    <row r="125" spans="1:24" x14ac:dyDescent="0.3">
      <c r="B125" s="2" t="s">
        <v>21</v>
      </c>
      <c r="C125" s="2">
        <v>2019</v>
      </c>
      <c r="D125" s="8">
        <v>-28826.23</v>
      </c>
      <c r="E125" s="8">
        <v>301938.40000000002</v>
      </c>
      <c r="F125" s="8">
        <v>70818</v>
      </c>
      <c r="G125" s="6">
        <v>60179.56</v>
      </c>
      <c r="H125" s="5">
        <v>-99.838014754268684</v>
      </c>
      <c r="I125" s="4">
        <f t="shared" si="36"/>
        <v>1.1767782948230263</v>
      </c>
      <c r="J125" s="4">
        <f t="shared" si="37"/>
        <v>-0.47900366835516911</v>
      </c>
      <c r="K125" s="5">
        <f t="shared" si="38"/>
        <v>-9.5470566181711227</v>
      </c>
    </row>
    <row r="126" spans="1:24" x14ac:dyDescent="0.3">
      <c r="B126" s="2" t="s">
        <v>21</v>
      </c>
      <c r="C126" s="2">
        <v>2020</v>
      </c>
      <c r="D126" s="8">
        <v>-12070.85</v>
      </c>
      <c r="E126" s="8">
        <v>261067.97</v>
      </c>
      <c r="F126" s="8">
        <v>83316</v>
      </c>
      <c r="G126" s="6">
        <v>63078.53</v>
      </c>
      <c r="H126" s="5">
        <v>-39.076885723535128</v>
      </c>
      <c r="I126" s="4">
        <f t="shared" si="36"/>
        <v>1.3208297656904815</v>
      </c>
      <c r="J126" s="4">
        <f t="shared" si="37"/>
        <v>-0.19136225907610721</v>
      </c>
      <c r="K126" s="5">
        <f t="shared" si="38"/>
        <v>-4.6236426475450054</v>
      </c>
    </row>
    <row r="127" spans="1:24" x14ac:dyDescent="0.3">
      <c r="B127" s="2" t="s">
        <v>21</v>
      </c>
      <c r="C127" s="2">
        <v>2021</v>
      </c>
      <c r="D127" s="8">
        <v>-13451.39</v>
      </c>
      <c r="E127" s="8">
        <v>249794.75</v>
      </c>
      <c r="F127" s="8">
        <v>93113</v>
      </c>
      <c r="G127" s="6">
        <v>55246.720000000001</v>
      </c>
      <c r="H127" s="5">
        <v>-40.512574164985097</v>
      </c>
      <c r="I127" s="4">
        <f t="shared" si="36"/>
        <v>1.6854032239380003</v>
      </c>
      <c r="J127" s="4">
        <f t="shared" si="37"/>
        <v>-0.24347852687001145</v>
      </c>
      <c r="K127" s="5">
        <f t="shared" si="38"/>
        <v>-5.3849770661713263</v>
      </c>
    </row>
    <row r="128" spans="1:24" x14ac:dyDescent="0.3">
      <c r="B128" s="2" t="s">
        <v>21</v>
      </c>
      <c r="C128" s="2">
        <v>2022</v>
      </c>
      <c r="D128" s="8">
        <v>-11441.47</v>
      </c>
      <c r="E128" s="8">
        <v>278453.62</v>
      </c>
      <c r="F128" s="8">
        <v>97759</v>
      </c>
      <c r="G128" s="6">
        <v>44561.24</v>
      </c>
      <c r="H128" s="5">
        <v>-34.454994428885477</v>
      </c>
      <c r="I128" s="4">
        <f t="shared" si="36"/>
        <v>2.1938123804454275</v>
      </c>
      <c r="J128" s="4">
        <f t="shared" si="37"/>
        <v>-0.25675833975894746</v>
      </c>
      <c r="K128" s="5">
        <f t="shared" si="38"/>
        <v>-4.1089320368684739</v>
      </c>
    </row>
    <row r="129" spans="1:22" x14ac:dyDescent="0.3">
      <c r="B129" s="2" t="s">
        <v>21</v>
      </c>
      <c r="C129" s="2">
        <v>2023</v>
      </c>
      <c r="D129" s="8">
        <v>2414.29</v>
      </c>
      <c r="E129" s="8">
        <v>345966.97</v>
      </c>
      <c r="F129" s="8">
        <v>88696</v>
      </c>
      <c r="G129" s="6">
        <v>45321.789999999994</v>
      </c>
      <c r="H129" s="5">
        <v>7.2691114924878812</v>
      </c>
      <c r="I129" s="4">
        <f t="shared" si="36"/>
        <v>1.9570277343414726</v>
      </c>
      <c r="J129" s="4">
        <f t="shared" si="37"/>
        <v>5.326996131441411E-2</v>
      </c>
      <c r="K129" s="5">
        <f t="shared" si="38"/>
        <v>0.69783829363826266</v>
      </c>
    </row>
    <row r="130" spans="1:22" x14ac:dyDescent="0.3">
      <c r="B130" s="2" t="s">
        <v>21</v>
      </c>
      <c r="C130" s="2">
        <v>2024</v>
      </c>
      <c r="D130" s="2">
        <v>31399</v>
      </c>
      <c r="E130" s="2">
        <v>434016</v>
      </c>
      <c r="F130" s="8">
        <v>62149</v>
      </c>
      <c r="G130">
        <v>84918</v>
      </c>
      <c r="H130" s="5">
        <v>94.470018353040288</v>
      </c>
      <c r="I130" s="4">
        <f t="shared" si="36"/>
        <v>0.73187074589604084</v>
      </c>
      <c r="J130" s="4">
        <f t="shared" si="37"/>
        <v>0.36975670646977082</v>
      </c>
      <c r="K130" s="5">
        <f t="shared" si="38"/>
        <v>7.2345259160952597</v>
      </c>
    </row>
    <row r="131" spans="1:22" x14ac:dyDescent="0.3">
      <c r="B131" s="2" t="s">
        <v>21</v>
      </c>
      <c r="C131" s="2">
        <v>2025</v>
      </c>
      <c r="D131" s="2">
        <v>27830</v>
      </c>
      <c r="E131" s="2">
        <v>439695</v>
      </c>
      <c r="F131" s="8">
        <v>40217</v>
      </c>
      <c r="G131">
        <v>116144</v>
      </c>
      <c r="H131" s="5">
        <v>75.598294080895343</v>
      </c>
      <c r="I131" s="4">
        <f t="shared" si="36"/>
        <v>0.34626842540294805</v>
      </c>
      <c r="J131" s="4">
        <f t="shared" si="37"/>
        <v>0.23961633833861412</v>
      </c>
      <c r="K131" s="5">
        <f t="shared" si="38"/>
        <v>6.3293874162771919</v>
      </c>
    </row>
    <row r="132" spans="1:22" x14ac:dyDescent="0.3">
      <c r="A132">
        <v>14</v>
      </c>
      <c r="B132" s="2" t="s">
        <v>22</v>
      </c>
      <c r="C132" s="2">
        <v>2016</v>
      </c>
      <c r="D132" s="9">
        <v>3148.43</v>
      </c>
      <c r="E132" s="8">
        <v>75841.42</v>
      </c>
      <c r="F132" s="8">
        <v>23599</v>
      </c>
      <c r="G132" s="10">
        <v>26492.65</v>
      </c>
      <c r="H132" s="5">
        <v>25.345596522299147</v>
      </c>
      <c r="I132" s="4">
        <f>F132/G132</f>
        <v>0.89077536599773899</v>
      </c>
      <c r="J132" s="4">
        <f>D132/G132</f>
        <v>0.11884164098344256</v>
      </c>
      <c r="K132" s="5">
        <f>(D131/E131)*100</f>
        <v>6.3293874162771919</v>
      </c>
      <c r="L132" s="4">
        <f>AVERAGE(J132:J141)</f>
        <v>0.1287019595404211</v>
      </c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spans="1:22" x14ac:dyDescent="0.3">
      <c r="B133" s="2" t="s">
        <v>22</v>
      </c>
      <c r="C133" s="2">
        <v>2017</v>
      </c>
      <c r="D133" s="9">
        <v>3698.04</v>
      </c>
      <c r="E133" s="8">
        <v>83773.05</v>
      </c>
      <c r="F133" s="8">
        <v>30125</v>
      </c>
      <c r="G133" s="10">
        <v>29777.649999999998</v>
      </c>
      <c r="H133" s="5">
        <v>29.770085332474643</v>
      </c>
      <c r="I133" s="4">
        <f t="shared" ref="I133:I141" si="39">F133/G133</f>
        <v>1.0116647888601016</v>
      </c>
      <c r="J133" s="4">
        <f t="shared" ref="J133:J141" si="40">D133/G133</f>
        <v>0.12418844334593228</v>
      </c>
      <c r="K133" s="5">
        <f t="shared" ref="K133:K141" si="41">(D132/E132)*100</f>
        <v>4.1513331369586695</v>
      </c>
    </row>
    <row r="134" spans="1:22" x14ac:dyDescent="0.3">
      <c r="B134" s="2" t="s">
        <v>22</v>
      </c>
      <c r="C134" s="2">
        <v>2018</v>
      </c>
      <c r="D134" s="9">
        <v>7510.39</v>
      </c>
      <c r="E134" s="8">
        <v>92093.95</v>
      </c>
      <c r="F134" s="8">
        <v>33809</v>
      </c>
      <c r="G134" s="10">
        <v>36775.189999999995</v>
      </c>
      <c r="H134" s="5">
        <v>60.411759974259979</v>
      </c>
      <c r="I134" s="4">
        <f t="shared" si="39"/>
        <v>0.91934263290006124</v>
      </c>
      <c r="J134" s="4">
        <f t="shared" si="40"/>
        <v>0.20422436974492861</v>
      </c>
      <c r="K134" s="5">
        <f t="shared" si="41"/>
        <v>4.4143552132815982</v>
      </c>
    </row>
    <row r="135" spans="1:22" x14ac:dyDescent="0.3">
      <c r="B135" s="2" t="s">
        <v>22</v>
      </c>
      <c r="C135" s="2">
        <v>2019</v>
      </c>
      <c r="D135" s="9">
        <v>5315.46</v>
      </c>
      <c r="E135" s="8">
        <v>104720.68</v>
      </c>
      <c r="F135" s="8">
        <v>43526</v>
      </c>
      <c r="G135" s="10">
        <v>39983.409999999996</v>
      </c>
      <c r="H135" s="5">
        <v>42.756274131274132</v>
      </c>
      <c r="I135" s="4">
        <f t="shared" si="39"/>
        <v>1.0886014974710763</v>
      </c>
      <c r="J135" s="4">
        <f t="shared" si="40"/>
        <v>0.13294163754417146</v>
      </c>
      <c r="K135" s="5">
        <f t="shared" si="41"/>
        <v>8.1551393984078224</v>
      </c>
    </row>
    <row r="136" spans="1:22" x14ac:dyDescent="0.3">
      <c r="B136" s="2" t="s">
        <v>22</v>
      </c>
      <c r="C136" s="2">
        <v>2020</v>
      </c>
      <c r="D136" s="9">
        <v>127.04</v>
      </c>
      <c r="E136" s="8">
        <v>75381.929999999993</v>
      </c>
      <c r="F136" s="8">
        <v>52298</v>
      </c>
      <c r="G136" s="10">
        <v>39969.31</v>
      </c>
      <c r="H136" s="5">
        <v>1.0218790218790219</v>
      </c>
      <c r="I136" s="4">
        <f t="shared" si="39"/>
        <v>1.308453911263417</v>
      </c>
      <c r="J136" s="4">
        <f t="shared" si="40"/>
        <v>3.1784386570596294E-3</v>
      </c>
      <c r="K136" s="5">
        <f t="shared" si="41"/>
        <v>5.0758455731952852</v>
      </c>
    </row>
    <row r="137" spans="1:22" x14ac:dyDescent="0.3">
      <c r="B137" s="2" t="s">
        <v>22</v>
      </c>
      <c r="C137" s="2">
        <v>2021</v>
      </c>
      <c r="D137" s="9">
        <v>1812.49</v>
      </c>
      <c r="E137" s="8">
        <v>74277.78</v>
      </c>
      <c r="F137" s="8">
        <v>52778</v>
      </c>
      <c r="G137" s="10">
        <v>41581.919999999998</v>
      </c>
      <c r="H137" s="5">
        <v>14.579231016731018</v>
      </c>
      <c r="I137" s="4">
        <f t="shared" si="39"/>
        <v>1.2692535602011643</v>
      </c>
      <c r="J137" s="4">
        <f t="shared" si="40"/>
        <v>4.3588415349748159E-2</v>
      </c>
      <c r="K137" s="5">
        <f t="shared" si="41"/>
        <v>0.16852845237578823</v>
      </c>
    </row>
    <row r="138" spans="1:22" x14ac:dyDescent="0.3">
      <c r="B138" s="2" t="s">
        <v>22</v>
      </c>
      <c r="C138" s="2">
        <v>2022</v>
      </c>
      <c r="D138" s="9">
        <v>6577.32</v>
      </c>
      <c r="E138" s="8">
        <v>90170.57</v>
      </c>
      <c r="F138" s="8">
        <v>48625</v>
      </c>
      <c r="G138" s="10">
        <v>47122.64</v>
      </c>
      <c r="H138" s="5">
        <v>52.906370656370655</v>
      </c>
      <c r="I138" s="4">
        <f t="shared" si="39"/>
        <v>1.0318819149351564</v>
      </c>
      <c r="J138" s="4">
        <f t="shared" si="40"/>
        <v>0.13957876723375431</v>
      </c>
      <c r="K138" s="5">
        <f t="shared" si="41"/>
        <v>2.4401510115138065</v>
      </c>
    </row>
    <row r="139" spans="1:22" x14ac:dyDescent="0.3">
      <c r="B139" s="2" t="s">
        <v>22</v>
      </c>
      <c r="C139" s="2">
        <v>2023</v>
      </c>
      <c r="D139" s="9">
        <v>10281.5</v>
      </c>
      <c r="E139" s="8">
        <v>121268.55</v>
      </c>
      <c r="F139" s="8">
        <v>55027</v>
      </c>
      <c r="G139" s="10">
        <v>56365.79</v>
      </c>
      <c r="H139" s="5">
        <v>82.681946119823081</v>
      </c>
      <c r="I139" s="4">
        <f t="shared" si="39"/>
        <v>0.9762481817428621</v>
      </c>
      <c r="J139" s="4">
        <f t="shared" si="40"/>
        <v>0.18240673997472581</v>
      </c>
      <c r="K139" s="5">
        <f t="shared" si="41"/>
        <v>7.2943089968267909</v>
      </c>
    </row>
    <row r="140" spans="1:22" x14ac:dyDescent="0.3">
      <c r="B140" s="2" t="s">
        <v>22</v>
      </c>
      <c r="C140" s="2">
        <v>2024</v>
      </c>
      <c r="D140" s="9">
        <v>11268.64</v>
      </c>
      <c r="E140" s="8">
        <v>139078.26999999999</v>
      </c>
      <c r="F140" s="8">
        <v>69741</v>
      </c>
      <c r="G140" s="10">
        <v>66190.55</v>
      </c>
      <c r="H140" s="5">
        <v>90.620345798150382</v>
      </c>
      <c r="I140" s="4">
        <f t="shared" si="39"/>
        <v>1.0536398322721294</v>
      </c>
      <c r="J140" s="4">
        <f t="shared" si="40"/>
        <v>0.1702454504457207</v>
      </c>
      <c r="K140" s="5">
        <f t="shared" si="41"/>
        <v>8.4782905378187507</v>
      </c>
    </row>
    <row r="141" spans="1:22" x14ac:dyDescent="0.3">
      <c r="B141" s="2" t="s">
        <v>22</v>
      </c>
      <c r="C141" s="2">
        <v>2025</v>
      </c>
      <c r="D141" s="9">
        <v>12929.1</v>
      </c>
      <c r="E141" s="8">
        <v>159210.82</v>
      </c>
      <c r="F141" s="8">
        <v>83782</v>
      </c>
      <c r="G141" s="10">
        <v>77038.86</v>
      </c>
      <c r="H141" s="5">
        <v>103.97346200241255</v>
      </c>
      <c r="I141" s="4">
        <f t="shared" si="39"/>
        <v>1.087529072989917</v>
      </c>
      <c r="J141" s="4">
        <f t="shared" si="40"/>
        <v>0.1678256921247277</v>
      </c>
      <c r="K141" s="5">
        <f t="shared" si="41"/>
        <v>8.1023728581035712</v>
      </c>
    </row>
    <row r="142" spans="1:22" x14ac:dyDescent="0.3">
      <c r="A142">
        <v>15</v>
      </c>
      <c r="B142" s="2" t="s">
        <v>23</v>
      </c>
      <c r="C142" s="2">
        <v>2016</v>
      </c>
      <c r="D142" s="9">
        <v>5497.2</v>
      </c>
      <c r="E142" s="8">
        <v>57589</v>
      </c>
      <c r="F142" s="8">
        <v>0</v>
      </c>
      <c r="G142" s="10">
        <v>30616</v>
      </c>
      <c r="H142" s="5">
        <v>181.96623634558091</v>
      </c>
      <c r="I142" s="4">
        <f>F142/G142</f>
        <v>0</v>
      </c>
      <c r="J142" s="4">
        <f>D142/G142</f>
        <v>0.17955317481055658</v>
      </c>
      <c r="K142" s="5">
        <f>(D142/E142)*100</f>
        <v>9.5455729392765978</v>
      </c>
      <c r="L142" s="4">
        <f>AVERAGE(J142:J151)</f>
        <v>0.14172211387910097</v>
      </c>
    </row>
    <row r="143" spans="1:22" x14ac:dyDescent="0.3">
      <c r="B143" s="2" t="s">
        <v>23</v>
      </c>
      <c r="C143" s="2">
        <v>2017</v>
      </c>
      <c r="D143" s="9">
        <v>7509.9</v>
      </c>
      <c r="E143" s="8">
        <v>68085</v>
      </c>
      <c r="F143" s="8">
        <v>0</v>
      </c>
      <c r="G143" s="10">
        <v>37075.1</v>
      </c>
      <c r="H143" s="5">
        <v>248.58987090367427</v>
      </c>
      <c r="I143" s="4">
        <f t="shared" ref="I143:I151" si="42">F143/G143</f>
        <v>0</v>
      </c>
      <c r="J143" s="4">
        <f t="shared" ref="J143:J151" si="43">D143/G143</f>
        <v>0.20255912998211736</v>
      </c>
      <c r="K143" s="5">
        <f t="shared" ref="K143:K151" si="44">(D143/E143)*100</f>
        <v>11.030182859660718</v>
      </c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spans="1:22" x14ac:dyDescent="0.3">
      <c r="B144" s="2" t="s">
        <v>23</v>
      </c>
      <c r="C144" s="2">
        <v>2018</v>
      </c>
      <c r="D144" s="9">
        <v>7880</v>
      </c>
      <c r="E144" s="8">
        <v>79809.399999999994</v>
      </c>
      <c r="F144" s="8">
        <v>10</v>
      </c>
      <c r="G144" s="10">
        <v>42559.4</v>
      </c>
      <c r="H144" s="5">
        <v>260.84078119827871</v>
      </c>
      <c r="I144" s="4">
        <f t="shared" si="42"/>
        <v>2.3496571850167061E-4</v>
      </c>
      <c r="J144" s="4">
        <f t="shared" si="43"/>
        <v>0.18515298617931644</v>
      </c>
      <c r="K144" s="5">
        <f t="shared" si="44"/>
        <v>9.8735236701441185</v>
      </c>
    </row>
    <row r="145" spans="1:22" x14ac:dyDescent="0.3">
      <c r="B145" s="2" t="s">
        <v>23</v>
      </c>
      <c r="C145" s="2">
        <v>2019</v>
      </c>
      <c r="D145" s="9">
        <v>7649.1</v>
      </c>
      <c r="E145" s="8">
        <v>86068.5</v>
      </c>
      <c r="F145" s="8">
        <v>8</v>
      </c>
      <c r="G145" s="10">
        <v>47092.1</v>
      </c>
      <c r="H145" s="5">
        <v>253.19761668321749</v>
      </c>
      <c r="I145" s="4">
        <f t="shared" si="42"/>
        <v>1.6987987369431392E-4</v>
      </c>
      <c r="J145" s="4">
        <f t="shared" si="43"/>
        <v>0.16242851773439707</v>
      </c>
      <c r="K145" s="5">
        <f t="shared" si="44"/>
        <v>8.8872235486850588</v>
      </c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 spans="1:22" x14ac:dyDescent="0.3">
      <c r="B146" s="2" t="s">
        <v>23</v>
      </c>
      <c r="C146" s="2">
        <v>2020</v>
      </c>
      <c r="D146" s="9">
        <v>5676</v>
      </c>
      <c r="E146" s="8">
        <v>75660</v>
      </c>
      <c r="F146" s="8">
        <v>5</v>
      </c>
      <c r="G146" s="10">
        <v>49413</v>
      </c>
      <c r="H146" s="5">
        <v>187.88480635551142</v>
      </c>
      <c r="I146" s="4">
        <f t="shared" si="42"/>
        <v>1.011879464918139E-4</v>
      </c>
      <c r="J146" s="4">
        <f t="shared" si="43"/>
        <v>0.11486855685750713</v>
      </c>
      <c r="K146" s="5">
        <f t="shared" si="44"/>
        <v>7.5019825535289453</v>
      </c>
    </row>
    <row r="147" spans="1:22" x14ac:dyDescent="0.3">
      <c r="B147" s="2" t="s">
        <v>23</v>
      </c>
      <c r="C147" s="2">
        <v>2021</v>
      </c>
      <c r="D147" s="9">
        <v>4389.1000000000004</v>
      </c>
      <c r="E147" s="8">
        <v>70372</v>
      </c>
      <c r="F147" s="8">
        <v>3</v>
      </c>
      <c r="G147" s="10">
        <v>52500.6</v>
      </c>
      <c r="H147" s="5">
        <v>145.28632903012249</v>
      </c>
      <c r="I147" s="4">
        <f t="shared" si="42"/>
        <v>5.7142204089096124E-5</v>
      </c>
      <c r="J147" s="4">
        <f t="shared" si="43"/>
        <v>8.3600949322483936E-2</v>
      </c>
      <c r="K147" s="5">
        <f t="shared" si="44"/>
        <v>6.2369976695276534</v>
      </c>
    </row>
    <row r="148" spans="1:22" x14ac:dyDescent="0.3">
      <c r="B148" s="2" t="s">
        <v>23</v>
      </c>
      <c r="C148" s="2">
        <v>2022</v>
      </c>
      <c r="D148" s="9">
        <v>3879.5</v>
      </c>
      <c r="E148" s="8">
        <v>88329.8</v>
      </c>
      <c r="F148" s="8">
        <v>0</v>
      </c>
      <c r="G148" s="10">
        <v>55333.5</v>
      </c>
      <c r="H148" s="5">
        <v>128.41774246938098</v>
      </c>
      <c r="I148" s="4">
        <f t="shared" si="42"/>
        <v>0</v>
      </c>
      <c r="J148" s="4">
        <f t="shared" si="43"/>
        <v>7.011123460471505E-2</v>
      </c>
      <c r="K148" s="5">
        <f t="shared" si="44"/>
        <v>4.3920624749518282</v>
      </c>
    </row>
    <row r="149" spans="1:22" x14ac:dyDescent="0.3">
      <c r="B149" s="2" t="s">
        <v>23</v>
      </c>
      <c r="C149" s="2">
        <v>2023</v>
      </c>
      <c r="D149" s="9">
        <v>8263.7000000000007</v>
      </c>
      <c r="E149" s="8">
        <v>118409.9</v>
      </c>
      <c r="F149" s="8">
        <v>0</v>
      </c>
      <c r="G149" s="10">
        <v>74600.2</v>
      </c>
      <c r="H149" s="5">
        <v>273.54187355180403</v>
      </c>
      <c r="I149" s="4">
        <f t="shared" si="42"/>
        <v>0</v>
      </c>
      <c r="J149" s="4">
        <f t="shared" si="43"/>
        <v>0.11077316146605506</v>
      </c>
      <c r="K149" s="5">
        <f t="shared" si="44"/>
        <v>6.9788928121719565</v>
      </c>
    </row>
    <row r="150" spans="1:22" x14ac:dyDescent="0.3">
      <c r="B150" s="2" t="s">
        <v>23</v>
      </c>
      <c r="C150" s="2">
        <v>2024</v>
      </c>
      <c r="D150" s="9">
        <v>13488.2</v>
      </c>
      <c r="E150" s="8">
        <v>141858.20000000001</v>
      </c>
      <c r="F150" s="8">
        <v>0</v>
      </c>
      <c r="G150" s="10">
        <v>85636</v>
      </c>
      <c r="H150" s="5">
        <v>429.01399491094151</v>
      </c>
      <c r="I150" s="4">
        <f t="shared" si="42"/>
        <v>0</v>
      </c>
      <c r="J150" s="4">
        <f t="shared" si="43"/>
        <v>0.15750618898594049</v>
      </c>
      <c r="K150" s="5">
        <f t="shared" si="44"/>
        <v>9.508227229726586</v>
      </c>
    </row>
    <row r="151" spans="1:22" x14ac:dyDescent="0.3">
      <c r="B151" s="2" t="s">
        <v>23</v>
      </c>
      <c r="C151" s="2">
        <v>2025</v>
      </c>
      <c r="D151" s="2">
        <v>14500.2</v>
      </c>
      <c r="E151" s="2">
        <v>152913</v>
      </c>
      <c r="F151" s="8">
        <v>0</v>
      </c>
      <c r="G151" s="10">
        <v>96239.9</v>
      </c>
      <c r="H151" s="5">
        <v>461.20229007633588</v>
      </c>
      <c r="I151" s="4">
        <f t="shared" si="42"/>
        <v>0</v>
      </c>
      <c r="J151" s="4">
        <f t="shared" si="43"/>
        <v>0.15066723884792069</v>
      </c>
      <c r="K151" s="5">
        <f t="shared" si="44"/>
        <v>9.482646995350299</v>
      </c>
    </row>
    <row r="152" spans="1:22" x14ac:dyDescent="0.3">
      <c r="A152">
        <v>16</v>
      </c>
      <c r="B152" s="2" t="s">
        <v>24</v>
      </c>
      <c r="C152" s="2">
        <v>2016</v>
      </c>
      <c r="D152" s="9">
        <v>-382.78</v>
      </c>
      <c r="E152" s="9">
        <v>101964.72</v>
      </c>
      <c r="F152" s="8">
        <v>64873</v>
      </c>
      <c r="G152" s="10">
        <v>43732.549999999996</v>
      </c>
      <c r="H152" s="5">
        <v>-0.33975963501446804</v>
      </c>
      <c r="I152" s="4">
        <f>F152/G152</f>
        <v>1.483403094491403</v>
      </c>
      <c r="J152" s="4">
        <f>D152/G152</f>
        <v>-8.7527482390119034E-3</v>
      </c>
      <c r="K152" s="5">
        <f>(D152/E152)*100</f>
        <v>-0.37540435554572205</v>
      </c>
      <c r="L152" s="4">
        <f>AVERAGE(J152:J161)</f>
        <v>7.9527128050930956E-2</v>
      </c>
    </row>
    <row r="153" spans="1:22" x14ac:dyDescent="0.3">
      <c r="B153" s="2" t="s">
        <v>24</v>
      </c>
      <c r="C153" s="2">
        <v>2017</v>
      </c>
      <c r="D153" s="9">
        <v>-4240.8</v>
      </c>
      <c r="E153" s="9">
        <v>112299.42</v>
      </c>
      <c r="F153" s="8">
        <v>64022</v>
      </c>
      <c r="G153" s="10">
        <v>37819.32</v>
      </c>
      <c r="H153" s="5">
        <v>-3.7641795814027805</v>
      </c>
      <c r="I153" s="4">
        <f t="shared" ref="I153:I161" si="45">F153/G153</f>
        <v>1.6928384751497383</v>
      </c>
      <c r="J153" s="4">
        <f t="shared" ref="J153:J161" si="46">D153/G153</f>
        <v>-0.11213316368459296</v>
      </c>
      <c r="K153" s="5">
        <f t="shared" ref="K153:K161" si="47">(D153/E153)*100</f>
        <v>-3.7763329498941318</v>
      </c>
    </row>
    <row r="154" spans="1:22" x14ac:dyDescent="0.3">
      <c r="B154" s="2" t="s">
        <v>24</v>
      </c>
      <c r="C154" s="2">
        <v>2018</v>
      </c>
      <c r="D154" s="9">
        <v>13434.33</v>
      </c>
      <c r="E154" s="9">
        <v>123249.07</v>
      </c>
      <c r="F154" s="8">
        <v>72789</v>
      </c>
      <c r="G154" s="10">
        <v>60870.619999999995</v>
      </c>
      <c r="H154" s="5">
        <v>11.925937433420922</v>
      </c>
      <c r="I154" s="4">
        <f t="shared" si="45"/>
        <v>1.1957985642334512</v>
      </c>
      <c r="J154" s="4">
        <f t="shared" si="46"/>
        <v>0.22070302553185758</v>
      </c>
      <c r="K154" s="5">
        <f t="shared" si="47"/>
        <v>10.900147157297008</v>
      </c>
    </row>
    <row r="155" spans="1:22" x14ac:dyDescent="0.3">
      <c r="B155" s="2" t="s">
        <v>24</v>
      </c>
      <c r="C155" s="2">
        <v>2019</v>
      </c>
      <c r="D155" s="9">
        <v>10218.33</v>
      </c>
      <c r="E155" s="9">
        <v>157668.99</v>
      </c>
      <c r="F155" s="8">
        <v>80343</v>
      </c>
      <c r="G155" s="10">
        <v>68925.08</v>
      </c>
      <c r="H155" s="5">
        <v>9.0709460359168741</v>
      </c>
      <c r="I155" s="4">
        <f t="shared" si="45"/>
        <v>1.1656569713085569</v>
      </c>
      <c r="J155" s="4">
        <f t="shared" si="46"/>
        <v>0.14825271149485789</v>
      </c>
      <c r="K155" s="5">
        <f t="shared" si="47"/>
        <v>6.480874901272597</v>
      </c>
    </row>
    <row r="156" spans="1:22" x14ac:dyDescent="0.3">
      <c r="B156" s="2" t="s">
        <v>24</v>
      </c>
      <c r="C156" s="2">
        <v>2020</v>
      </c>
      <c r="D156" s="9">
        <v>1556.54</v>
      </c>
      <c r="E156" s="9">
        <v>139816.65</v>
      </c>
      <c r="F156" s="8">
        <v>94105</v>
      </c>
      <c r="G156" s="10">
        <v>73576.3</v>
      </c>
      <c r="H156" s="5">
        <v>1.3817610453710196</v>
      </c>
      <c r="I156" s="4">
        <f t="shared" si="45"/>
        <v>1.2790123993731677</v>
      </c>
      <c r="J156" s="4">
        <f t="shared" si="46"/>
        <v>2.1155453590354503E-2</v>
      </c>
      <c r="K156" s="5">
        <f t="shared" si="47"/>
        <v>1.1132722747970289</v>
      </c>
    </row>
    <row r="157" spans="1:22" x14ac:dyDescent="0.3">
      <c r="B157" s="2" t="s">
        <v>24</v>
      </c>
      <c r="C157" s="2">
        <v>2021</v>
      </c>
      <c r="D157" s="9">
        <v>7490.22</v>
      </c>
      <c r="E157" s="9">
        <v>156294.18</v>
      </c>
      <c r="F157" s="8">
        <v>72409</v>
      </c>
      <c r="G157" s="10">
        <v>74238.77</v>
      </c>
      <c r="H157" s="5">
        <v>6.2596378040932992</v>
      </c>
      <c r="I157" s="4">
        <f t="shared" si="45"/>
        <v>0.97535290522728213</v>
      </c>
      <c r="J157" s="4">
        <f t="shared" si="46"/>
        <v>0.10089364357733836</v>
      </c>
      <c r="K157" s="5">
        <f t="shared" si="47"/>
        <v>4.7923857433462977</v>
      </c>
    </row>
    <row r="158" spans="1:22" x14ac:dyDescent="0.3">
      <c r="B158" s="2" t="s">
        <v>24</v>
      </c>
      <c r="C158" s="2">
        <v>2022</v>
      </c>
      <c r="D158" s="9">
        <v>40153.93</v>
      </c>
      <c r="E158" s="9">
        <v>243959.17</v>
      </c>
      <c r="F158" s="8">
        <v>44764</v>
      </c>
      <c r="G158" s="10">
        <v>114443.04000000001</v>
      </c>
      <c r="H158" s="5">
        <v>32.878023417669695</v>
      </c>
      <c r="I158" s="4">
        <f t="shared" si="45"/>
        <v>0.3911465476624878</v>
      </c>
      <c r="J158" s="4">
        <f t="shared" si="46"/>
        <v>0.35086388827140558</v>
      </c>
      <c r="K158" s="5">
        <f t="shared" si="47"/>
        <v>16.459282920170619</v>
      </c>
    </row>
    <row r="159" spans="1:22" x14ac:dyDescent="0.3">
      <c r="B159" s="2" t="s">
        <v>24</v>
      </c>
      <c r="C159" s="2">
        <v>2023</v>
      </c>
      <c r="D159" s="9">
        <v>8760.4</v>
      </c>
      <c r="E159" s="9">
        <v>243352.69</v>
      </c>
      <c r="F159" s="8">
        <v>51446</v>
      </c>
      <c r="G159" s="10">
        <v>103082.1</v>
      </c>
      <c r="H159" s="5">
        <v>7.168199522141852</v>
      </c>
      <c r="I159" s="4">
        <f t="shared" si="45"/>
        <v>0.49907791944479202</v>
      </c>
      <c r="J159" s="4">
        <f t="shared" si="46"/>
        <v>8.4984686963109984E-2</v>
      </c>
      <c r="K159" s="5">
        <f t="shared" si="47"/>
        <v>3.5998780206621097</v>
      </c>
    </row>
    <row r="160" spans="1:22" x14ac:dyDescent="0.3">
      <c r="B160" s="2" t="s">
        <v>24</v>
      </c>
      <c r="C160" s="2">
        <v>2024</v>
      </c>
      <c r="D160" s="9">
        <v>-4437.4399999999996</v>
      </c>
      <c r="E160" s="9">
        <v>229170.78</v>
      </c>
      <c r="F160" s="8">
        <v>51577</v>
      </c>
      <c r="G160" s="10">
        <v>92035.760000000009</v>
      </c>
      <c r="H160" s="5">
        <v>-3.5546441302519325</v>
      </c>
      <c r="I160" s="4">
        <f t="shared" si="45"/>
        <v>0.56040173949777772</v>
      </c>
      <c r="J160" s="4">
        <f t="shared" si="46"/>
        <v>-4.8214302788394413E-2</v>
      </c>
      <c r="K160" s="5">
        <f t="shared" si="47"/>
        <v>-1.9363026996722703</v>
      </c>
    </row>
    <row r="161" spans="1:22" x14ac:dyDescent="0.3">
      <c r="B161" s="2" t="s">
        <v>24</v>
      </c>
      <c r="C161" s="2">
        <v>2025</v>
      </c>
      <c r="D161" s="9">
        <v>3420.51</v>
      </c>
      <c r="E161" s="9">
        <v>218542.51</v>
      </c>
      <c r="F161" s="8">
        <v>68552</v>
      </c>
      <c r="G161" s="10">
        <v>91169.63</v>
      </c>
      <c r="H161" s="5">
        <v>2.7400248327792691</v>
      </c>
      <c r="I161" s="4">
        <f t="shared" si="45"/>
        <v>0.75191705834497735</v>
      </c>
      <c r="J161" s="4">
        <f t="shared" si="46"/>
        <v>3.7518085792385032E-2</v>
      </c>
      <c r="K161" s="5">
        <f t="shared" si="47"/>
        <v>1.5651462957938937</v>
      </c>
      <c r="M161" s="16"/>
      <c r="N161" s="16"/>
      <c r="O161" s="16"/>
      <c r="P161" s="16"/>
      <c r="Q161" s="16"/>
      <c r="R161" s="16"/>
      <c r="S161" s="16"/>
      <c r="T161" s="16"/>
      <c r="U161" s="16"/>
      <c r="V161" s="16"/>
    </row>
    <row r="162" spans="1:22" x14ac:dyDescent="0.3">
      <c r="A162">
        <v>17</v>
      </c>
      <c r="B162" s="2" t="s">
        <v>25</v>
      </c>
      <c r="C162" s="2">
        <v>2016</v>
      </c>
      <c r="D162" s="9">
        <v>-335.43</v>
      </c>
      <c r="E162" s="9">
        <v>41546.17</v>
      </c>
      <c r="F162" s="8">
        <v>32793</v>
      </c>
      <c r="G162" s="10">
        <v>18965.45</v>
      </c>
      <c r="H162" s="5">
        <v>-1.3876799602846268</v>
      </c>
      <c r="I162" s="4">
        <f>F162/G162</f>
        <v>1.729091584961074</v>
      </c>
      <c r="J162" s="4">
        <f>D162/G162</f>
        <v>-1.768637179713637E-2</v>
      </c>
      <c r="K162" s="5">
        <f>(D162/E162)*100</f>
        <v>-0.80736684031283756</v>
      </c>
      <c r="L162" s="4">
        <f>AVERAGE(J162:J171)</f>
        <v>0.13863279510141829</v>
      </c>
    </row>
    <row r="163" spans="1:22" x14ac:dyDescent="0.3">
      <c r="B163" s="2" t="s">
        <v>25</v>
      </c>
      <c r="C163" s="2">
        <v>2017</v>
      </c>
      <c r="D163" s="9">
        <v>3523</v>
      </c>
      <c r="E163" s="9">
        <v>55604</v>
      </c>
      <c r="F163" s="8">
        <v>32416</v>
      </c>
      <c r="G163" s="10">
        <v>22647</v>
      </c>
      <c r="H163" s="5">
        <v>14.57471454575542</v>
      </c>
      <c r="I163" s="4">
        <f t="shared" ref="I163:I171" si="48">F163/G163</f>
        <v>1.4313595619728883</v>
      </c>
      <c r="J163" s="4">
        <f t="shared" ref="J163:J171" si="49">D163/G163</f>
        <v>0.15556144301673511</v>
      </c>
      <c r="K163" s="5">
        <f t="shared" ref="K163:K171" si="50">(D163/E163)*100</f>
        <v>6.3358751168980652</v>
      </c>
    </row>
    <row r="164" spans="1:22" x14ac:dyDescent="0.3">
      <c r="B164" s="2" t="s">
        <v>25</v>
      </c>
      <c r="C164" s="2">
        <v>2018</v>
      </c>
      <c r="D164" s="9">
        <v>6214</v>
      </c>
      <c r="E164" s="9">
        <v>71933</v>
      </c>
      <c r="F164" s="8">
        <v>31723</v>
      </c>
      <c r="G164" s="10">
        <v>27998</v>
      </c>
      <c r="H164" s="5">
        <v>25.707430084395167</v>
      </c>
      <c r="I164" s="4">
        <f t="shared" si="48"/>
        <v>1.1330452175155368</v>
      </c>
      <c r="J164" s="4">
        <f t="shared" si="49"/>
        <v>0.22194442460175726</v>
      </c>
      <c r="K164" s="5">
        <f t="shared" si="50"/>
        <v>8.6385942474246864</v>
      </c>
    </row>
    <row r="165" spans="1:22" x14ac:dyDescent="0.3">
      <c r="B165" s="2" t="s">
        <v>25</v>
      </c>
      <c r="C165" s="2">
        <v>2019</v>
      </c>
      <c r="D165" s="9">
        <v>7639</v>
      </c>
      <c r="E165" s="9">
        <v>84757</v>
      </c>
      <c r="F165" s="8">
        <v>29656</v>
      </c>
      <c r="G165" s="10">
        <v>34795</v>
      </c>
      <c r="H165" s="5">
        <v>31.602680787688236</v>
      </c>
      <c r="I165" s="4">
        <f t="shared" si="48"/>
        <v>0.85230636585716335</v>
      </c>
      <c r="J165" s="4">
        <f t="shared" si="49"/>
        <v>0.21954303779278633</v>
      </c>
      <c r="K165" s="5">
        <f t="shared" si="50"/>
        <v>9.0128248994183373</v>
      </c>
    </row>
    <row r="166" spans="1:22" x14ac:dyDescent="0.3">
      <c r="B166" s="2" t="s">
        <v>25</v>
      </c>
      <c r="C166" s="2">
        <v>2020</v>
      </c>
      <c r="D166" s="9">
        <v>4030</v>
      </c>
      <c r="E166" s="9">
        <v>73326</v>
      </c>
      <c r="F166" s="8">
        <v>44673</v>
      </c>
      <c r="G166" s="10">
        <v>36599</v>
      </c>
      <c r="H166" s="5">
        <v>16.672182690716532</v>
      </c>
      <c r="I166" s="4">
        <f t="shared" si="48"/>
        <v>1.2206071204131261</v>
      </c>
      <c r="J166" s="4">
        <f t="shared" si="49"/>
        <v>0.11011229815022268</v>
      </c>
      <c r="K166" s="5">
        <f t="shared" si="50"/>
        <v>5.496004145869132</v>
      </c>
    </row>
    <row r="167" spans="1:22" x14ac:dyDescent="0.3">
      <c r="B167" s="2" t="s">
        <v>25</v>
      </c>
      <c r="C167" s="2">
        <v>2021</v>
      </c>
      <c r="D167" s="9">
        <v>7911</v>
      </c>
      <c r="E167" s="9">
        <v>79839</v>
      </c>
      <c r="F167" s="8">
        <v>49731</v>
      </c>
      <c r="G167" s="10">
        <v>46764</v>
      </c>
      <c r="H167" s="5">
        <v>32.727949693860666</v>
      </c>
      <c r="I167" s="4">
        <f t="shared" si="48"/>
        <v>1.0634462406979728</v>
      </c>
      <c r="J167" s="4">
        <f t="shared" si="49"/>
        <v>0.16916859122401848</v>
      </c>
      <c r="K167" s="5">
        <f t="shared" si="50"/>
        <v>9.9086912411227601</v>
      </c>
    </row>
    <row r="168" spans="1:22" x14ac:dyDescent="0.3">
      <c r="B168" s="2" t="s">
        <v>25</v>
      </c>
      <c r="C168" s="2">
        <v>2022</v>
      </c>
      <c r="D168" s="9">
        <v>20665</v>
      </c>
      <c r="E168" s="9">
        <v>146371</v>
      </c>
      <c r="F168" s="8">
        <v>57929</v>
      </c>
      <c r="G168" s="10">
        <v>67297</v>
      </c>
      <c r="H168" s="5">
        <v>85.49147774284296</v>
      </c>
      <c r="I168" s="4">
        <f t="shared" si="48"/>
        <v>0.86079617219192539</v>
      </c>
      <c r="J168" s="4">
        <f t="shared" si="49"/>
        <v>0.3070716376658692</v>
      </c>
      <c r="K168" s="5">
        <f t="shared" si="50"/>
        <v>14.118233803144065</v>
      </c>
    </row>
    <row r="169" spans="1:22" x14ac:dyDescent="0.3">
      <c r="B169" s="2" t="s">
        <v>25</v>
      </c>
      <c r="C169" s="2">
        <v>2023</v>
      </c>
      <c r="D169" s="9">
        <v>4144</v>
      </c>
      <c r="E169" s="9">
        <v>165960</v>
      </c>
      <c r="F169" s="8">
        <v>61966</v>
      </c>
      <c r="G169" s="10">
        <v>65695</v>
      </c>
      <c r="H169" s="5">
        <v>17.143802746979976</v>
      </c>
      <c r="I169" s="4">
        <f t="shared" si="48"/>
        <v>0.94323768932186625</v>
      </c>
      <c r="J169" s="4">
        <f t="shared" si="49"/>
        <v>6.3079381992541289E-2</v>
      </c>
      <c r="K169" s="5">
        <f t="shared" si="50"/>
        <v>2.4969872258375512</v>
      </c>
    </row>
    <row r="170" spans="1:22" x14ac:dyDescent="0.3">
      <c r="B170" s="2" t="s">
        <v>25</v>
      </c>
      <c r="C170" s="2">
        <v>2024</v>
      </c>
      <c r="D170" s="9">
        <v>8812</v>
      </c>
      <c r="E170" s="9">
        <v>175006</v>
      </c>
      <c r="F170" s="8">
        <v>67354</v>
      </c>
      <c r="G170" s="10">
        <v>77669</v>
      </c>
      <c r="H170" s="5">
        <v>36.033530975260682</v>
      </c>
      <c r="I170" s="4">
        <f t="shared" si="48"/>
        <v>0.86719283111666168</v>
      </c>
      <c r="J170" s="4">
        <f t="shared" si="49"/>
        <v>0.11345581892389499</v>
      </c>
      <c r="K170" s="5">
        <f t="shared" si="50"/>
        <v>5.0352559340822598</v>
      </c>
    </row>
    <row r="171" spans="1:22" x14ac:dyDescent="0.3">
      <c r="B171" s="2" t="s">
        <v>25</v>
      </c>
      <c r="C171" s="2">
        <v>2025</v>
      </c>
      <c r="D171" s="2">
        <v>3504</v>
      </c>
      <c r="E171" s="2">
        <v>168824</v>
      </c>
      <c r="F171" s="8">
        <v>81983</v>
      </c>
      <c r="G171">
        <v>79496</v>
      </c>
      <c r="H171" s="5">
        <v>14.328358208955223</v>
      </c>
      <c r="I171" s="4">
        <f t="shared" si="48"/>
        <v>1.0312845929354937</v>
      </c>
      <c r="J171" s="4">
        <f t="shared" si="49"/>
        <v>4.4077689443494016E-2</v>
      </c>
      <c r="K171" s="5">
        <f t="shared" si="50"/>
        <v>2.0755342842249918</v>
      </c>
    </row>
    <row r="172" spans="1:22" x14ac:dyDescent="0.3">
      <c r="A172">
        <v>18</v>
      </c>
      <c r="B172" s="2" t="s">
        <v>26</v>
      </c>
      <c r="C172" s="2">
        <v>2016</v>
      </c>
      <c r="D172" s="10" cm="1">
        <f t="array" ref="D172:D181">TRANSPOSE('[1]Profit &amp; Loss'!B12:K12)</f>
        <v>0</v>
      </c>
      <c r="E172" s="9">
        <v>25153.24</v>
      </c>
      <c r="F172" s="8">
        <v>4897</v>
      </c>
      <c r="G172" s="10">
        <f>'[1]Balance Sheet'!M4+'[1]Balance Sheet'!N4</f>
        <v>0</v>
      </c>
      <c r="H172" cm="1">
        <f t="array" ref="H172:H181">TRANSPOSE('[1]Profit &amp; Loss'!B11:K11)</f>
        <v>0</v>
      </c>
      <c r="I172" s="4">
        <v>0</v>
      </c>
      <c r="J172" s="4">
        <v>0</v>
      </c>
      <c r="K172" s="5">
        <f>(D172/E172)*100</f>
        <v>0</v>
      </c>
      <c r="L172" s="4">
        <f>AVERAGE(J172:J181)</f>
        <v>0</v>
      </c>
      <c r="M172" s="16"/>
      <c r="N172" s="16"/>
      <c r="O172" s="16"/>
      <c r="P172" s="16"/>
      <c r="Q172" s="16"/>
      <c r="R172" s="16"/>
      <c r="S172" s="16"/>
      <c r="T172" s="16"/>
      <c r="U172" s="16"/>
      <c r="V172" s="16"/>
    </row>
    <row r="173" spans="1:22" x14ac:dyDescent="0.3">
      <c r="B173" s="2" t="s">
        <v>26</v>
      </c>
      <c r="C173" s="2">
        <v>2017</v>
      </c>
      <c r="D173" s="10">
        <v>0</v>
      </c>
      <c r="E173" s="9">
        <v>25374.94</v>
      </c>
      <c r="F173" s="8">
        <v>6371</v>
      </c>
      <c r="G173" s="10">
        <f>'[1]Balance Sheet'!M5+'[1]Balance Sheet'!N5</f>
        <v>0</v>
      </c>
      <c r="H173">
        <v>0</v>
      </c>
      <c r="I173" s="4">
        <v>0</v>
      </c>
      <c r="J173" s="4">
        <v>0</v>
      </c>
      <c r="K173" s="5">
        <f t="shared" ref="K173:K181" si="51">(D173/E173)*100</f>
        <v>0</v>
      </c>
    </row>
    <row r="174" spans="1:22" x14ac:dyDescent="0.3">
      <c r="B174" s="2" t="s">
        <v>26</v>
      </c>
      <c r="C174" s="2">
        <v>2018</v>
      </c>
      <c r="D174" s="10">
        <v>0</v>
      </c>
      <c r="E174" s="9">
        <v>30978.62</v>
      </c>
      <c r="F174" s="8">
        <v>15863</v>
      </c>
      <c r="G174" s="10">
        <f>'[1]Balance Sheet'!M6+'[1]Balance Sheet'!N6</f>
        <v>0</v>
      </c>
      <c r="H174">
        <v>0</v>
      </c>
      <c r="I174" s="4">
        <v>0</v>
      </c>
      <c r="J174" s="4">
        <v>0</v>
      </c>
      <c r="K174" s="5">
        <f t="shared" si="51"/>
        <v>0</v>
      </c>
    </row>
    <row r="175" spans="1:22" x14ac:dyDescent="0.3">
      <c r="B175" s="2" t="s">
        <v>26</v>
      </c>
      <c r="C175" s="2">
        <v>2019</v>
      </c>
      <c r="D175" s="10">
        <v>0</v>
      </c>
      <c r="E175" s="9">
        <v>41462.26</v>
      </c>
      <c r="F175" s="8">
        <v>20650</v>
      </c>
      <c r="G175" s="10">
        <f>'[1]Balance Sheet'!M7+'[1]Balance Sheet'!N7</f>
        <v>0</v>
      </c>
      <c r="H175">
        <v>0</v>
      </c>
      <c r="I175" s="4">
        <v>0</v>
      </c>
      <c r="J175" s="4">
        <v>0</v>
      </c>
      <c r="K175" s="5">
        <f t="shared" si="51"/>
        <v>0</v>
      </c>
    </row>
    <row r="176" spans="1:22" x14ac:dyDescent="0.3">
      <c r="B176" s="2" t="s">
        <v>26</v>
      </c>
      <c r="C176" s="2">
        <v>2020</v>
      </c>
      <c r="D176" s="10">
        <v>0</v>
      </c>
      <c r="E176" s="9">
        <v>42429.89</v>
      </c>
      <c r="F176" s="8">
        <v>17368</v>
      </c>
      <c r="G176" s="10">
        <f>'[1]Balance Sheet'!M8+'[1]Balance Sheet'!N8</f>
        <v>0</v>
      </c>
      <c r="H176">
        <v>0</v>
      </c>
      <c r="I176" s="4">
        <v>0</v>
      </c>
      <c r="J176" s="4">
        <v>0</v>
      </c>
      <c r="K176" s="5">
        <f t="shared" si="51"/>
        <v>0</v>
      </c>
    </row>
    <row r="177" spans="1:22" x14ac:dyDescent="0.3">
      <c r="B177" s="2" t="s">
        <v>26</v>
      </c>
      <c r="C177" s="2">
        <v>2021</v>
      </c>
      <c r="D177" s="10">
        <v>0</v>
      </c>
      <c r="E177" s="9">
        <v>44725.8</v>
      </c>
      <c r="F177" s="8">
        <v>13548</v>
      </c>
      <c r="G177" s="10">
        <f>'[1]Balance Sheet'!M9+'[1]Balance Sheet'!N9</f>
        <v>0</v>
      </c>
      <c r="H177">
        <v>0</v>
      </c>
      <c r="I177" s="4">
        <v>0</v>
      </c>
      <c r="J177" s="4">
        <v>0</v>
      </c>
      <c r="K177" s="5">
        <f t="shared" si="51"/>
        <v>0</v>
      </c>
    </row>
    <row r="178" spans="1:22" x14ac:dyDescent="0.3">
      <c r="B178" s="2" t="s">
        <v>26</v>
      </c>
      <c r="C178" s="2">
        <v>2022</v>
      </c>
      <c r="D178" s="10">
        <v>0</v>
      </c>
      <c r="E178" s="9">
        <v>52598.83</v>
      </c>
      <c r="F178" s="8">
        <v>5303</v>
      </c>
      <c r="G178" s="10">
        <f>'[1]Balance Sheet'!M10+'[1]Balance Sheet'!N10</f>
        <v>0</v>
      </c>
      <c r="H178">
        <v>0</v>
      </c>
      <c r="I178" s="4">
        <v>0</v>
      </c>
      <c r="J178" s="4">
        <v>0</v>
      </c>
      <c r="K178" s="5">
        <f t="shared" si="51"/>
        <v>0</v>
      </c>
    </row>
    <row r="179" spans="1:22" x14ac:dyDescent="0.3">
      <c r="B179" s="2" t="s">
        <v>26</v>
      </c>
      <c r="C179" s="2">
        <v>2023</v>
      </c>
      <c r="D179" s="10">
        <v>0</v>
      </c>
      <c r="E179" s="9">
        <v>63239.98</v>
      </c>
      <c r="F179" s="8">
        <v>5356</v>
      </c>
      <c r="G179" s="10">
        <f>'[1]Balance Sheet'!M11+'[1]Balance Sheet'!N11</f>
        <v>0</v>
      </c>
      <c r="H179">
        <v>0</v>
      </c>
      <c r="I179" s="4">
        <v>0</v>
      </c>
      <c r="J179" s="4">
        <v>0</v>
      </c>
      <c r="K179" s="5">
        <f t="shared" si="51"/>
        <v>0</v>
      </c>
    </row>
    <row r="180" spans="1:22" x14ac:dyDescent="0.3">
      <c r="B180" s="2" t="s">
        <v>26</v>
      </c>
      <c r="C180" s="2">
        <v>2024</v>
      </c>
      <c r="D180" s="10">
        <v>0</v>
      </c>
      <c r="E180" s="9">
        <v>70908.14</v>
      </c>
      <c r="F180" s="8">
        <v>5308</v>
      </c>
      <c r="G180" s="10">
        <f>'[1]Balance Sheet'!M12+'[1]Balance Sheet'!N12</f>
        <v>0</v>
      </c>
      <c r="H180">
        <v>0</v>
      </c>
      <c r="I180" s="4">
        <v>0</v>
      </c>
      <c r="J180" s="4">
        <v>0</v>
      </c>
      <c r="K180" s="5">
        <f t="shared" si="51"/>
        <v>0</v>
      </c>
    </row>
    <row r="181" spans="1:22" x14ac:dyDescent="0.3">
      <c r="B181" s="2" t="s">
        <v>26</v>
      </c>
      <c r="C181" s="2">
        <v>2025</v>
      </c>
      <c r="D181" s="10">
        <v>0</v>
      </c>
      <c r="E181" s="9">
        <v>75955.13</v>
      </c>
      <c r="F181" s="8">
        <v>15781</v>
      </c>
      <c r="G181" s="10">
        <f>'[1]Balance Sheet'!M13+'[1]Balance Sheet'!N13</f>
        <v>0</v>
      </c>
      <c r="H181">
        <v>0</v>
      </c>
      <c r="I181" s="4">
        <v>0</v>
      </c>
      <c r="J181" s="4">
        <v>0</v>
      </c>
      <c r="K181" s="5">
        <f t="shared" si="51"/>
        <v>0</v>
      </c>
    </row>
    <row r="182" spans="1:22" x14ac:dyDescent="0.3">
      <c r="A182">
        <v>19</v>
      </c>
      <c r="B182" s="2" t="s">
        <v>27</v>
      </c>
      <c r="C182" s="2">
        <v>2016</v>
      </c>
      <c r="D182" s="9">
        <v>4545.71</v>
      </c>
      <c r="E182" s="9">
        <v>28487.03</v>
      </c>
      <c r="F182" s="8">
        <v>3110</v>
      </c>
      <c r="G182" s="10">
        <v>32982.480000000003</v>
      </c>
      <c r="H182" s="5">
        <v>18.887730086840904</v>
      </c>
      <c r="I182" s="4">
        <f>F182/G182</f>
        <v>9.4292484979904473E-2</v>
      </c>
      <c r="J182" s="4">
        <f>D182/G182</f>
        <v>0.13782195880964682</v>
      </c>
      <c r="K182" s="5">
        <f>(D182/E182)*100</f>
        <v>15.957121539170634</v>
      </c>
      <c r="L182" s="4">
        <f>AVERAGE(J182:J191)</f>
        <v>0.11138797311316598</v>
      </c>
    </row>
    <row r="183" spans="1:22" x14ac:dyDescent="0.3">
      <c r="B183" s="2" t="s">
        <v>27</v>
      </c>
      <c r="C183" s="2">
        <v>2017</v>
      </c>
      <c r="D183" s="9">
        <v>6964.37</v>
      </c>
      <c r="E183" s="9">
        <v>31578.44</v>
      </c>
      <c r="F183" s="8">
        <v>1436</v>
      </c>
      <c r="G183" s="10">
        <v>36639.67</v>
      </c>
      <c r="H183" s="5">
        <v>29.026674446713624</v>
      </c>
      <c r="I183" s="4">
        <f t="shared" ref="I183:I191" si="52">F183/G183</f>
        <v>3.9192492727145201E-2</v>
      </c>
      <c r="J183" s="4">
        <f t="shared" ref="J183:J191" si="53">D183/G183</f>
        <v>0.19007731237754052</v>
      </c>
      <c r="K183" s="5">
        <f t="shared" ref="K183:K191" si="54">(D183/E183)*100</f>
        <v>22.054192670695578</v>
      </c>
      <c r="M183" s="16"/>
      <c r="N183" s="16"/>
      <c r="O183" s="16"/>
      <c r="P183" s="16"/>
      <c r="Q183" s="16"/>
      <c r="R183" s="15"/>
      <c r="S183" s="15"/>
      <c r="T183" s="15"/>
      <c r="U183" s="15"/>
      <c r="V183" s="15"/>
    </row>
    <row r="184" spans="1:22" x14ac:dyDescent="0.3">
      <c r="B184" s="2" t="s">
        <v>27</v>
      </c>
      <c r="C184" s="2">
        <v>2018</v>
      </c>
      <c r="D184" s="10">
        <v>2095.6999999999998</v>
      </c>
      <c r="E184" s="10">
        <v>26489.46</v>
      </c>
      <c r="F184" s="8">
        <v>1772</v>
      </c>
      <c r="G184" s="10">
        <v>38314.11</v>
      </c>
      <c r="H184" s="5">
        <v>8.7346309340224231</v>
      </c>
      <c r="I184" s="4">
        <f t="shared" si="52"/>
        <v>4.6249279965005059E-2</v>
      </c>
      <c r="J184" s="4">
        <f t="shared" si="53"/>
        <v>5.4697864572607842E-2</v>
      </c>
      <c r="K184" s="5">
        <f t="shared" si="54"/>
        <v>7.9114485535001462</v>
      </c>
    </row>
    <row r="185" spans="1:22" x14ac:dyDescent="0.3">
      <c r="B185" s="2" t="s">
        <v>27</v>
      </c>
      <c r="C185" s="2">
        <v>2019</v>
      </c>
      <c r="D185" s="10">
        <v>2665.42</v>
      </c>
      <c r="E185" s="10">
        <v>29065.91</v>
      </c>
      <c r="F185" s="8">
        <v>1523</v>
      </c>
      <c r="G185" s="10">
        <v>41409.06</v>
      </c>
      <c r="H185" s="5">
        <v>11.109156837410911</v>
      </c>
      <c r="I185" s="4">
        <f t="shared" si="52"/>
        <v>3.6779390790324634E-2</v>
      </c>
      <c r="J185" s="4">
        <f t="shared" si="53"/>
        <v>6.4368039264837223E-2</v>
      </c>
      <c r="K185" s="5">
        <f t="shared" si="54"/>
        <v>9.1702616570408431</v>
      </c>
    </row>
    <row r="186" spans="1:22" x14ac:dyDescent="0.3">
      <c r="B186" s="2" t="s">
        <v>27</v>
      </c>
      <c r="C186" s="2">
        <v>2020</v>
      </c>
      <c r="D186" s="10">
        <v>3764.93</v>
      </c>
      <c r="E186" s="10">
        <v>32837.5</v>
      </c>
      <c r="F186" s="8">
        <v>2029</v>
      </c>
      <c r="G186" s="10">
        <v>45264.45</v>
      </c>
      <c r="H186" s="5">
        <v>15.691785103988662</v>
      </c>
      <c r="I186" s="4">
        <f t="shared" si="52"/>
        <v>4.4825464575400785E-2</v>
      </c>
      <c r="J186" s="4">
        <f t="shared" si="53"/>
        <v>8.3176311652963866E-2</v>
      </c>
      <c r="K186" s="5">
        <f t="shared" si="54"/>
        <v>11.465336886181957</v>
      </c>
    </row>
    <row r="187" spans="1:22" x14ac:dyDescent="0.3">
      <c r="B187" s="2" t="s">
        <v>27</v>
      </c>
      <c r="C187" s="2">
        <v>2021</v>
      </c>
      <c r="D187" s="10">
        <v>2903.82</v>
      </c>
      <c r="E187" s="10">
        <v>33498.14</v>
      </c>
      <c r="F187" s="8">
        <v>655</v>
      </c>
      <c r="G187" s="10">
        <v>46462.78</v>
      </c>
      <c r="H187" s="5">
        <v>12.102779977493435</v>
      </c>
      <c r="I187" s="4">
        <f t="shared" si="52"/>
        <v>1.4097305413063962E-2</v>
      </c>
      <c r="J187" s="4">
        <f t="shared" si="53"/>
        <v>6.2497767029867785E-2</v>
      </c>
      <c r="K187" s="5">
        <f t="shared" si="54"/>
        <v>8.6686007043973188</v>
      </c>
    </row>
    <row r="188" spans="1:22" x14ac:dyDescent="0.3">
      <c r="B188" s="2" t="s">
        <v>27</v>
      </c>
      <c r="C188" s="2">
        <v>2022</v>
      </c>
      <c r="D188" s="10">
        <v>3272.73</v>
      </c>
      <c r="E188" s="10">
        <v>38654.49</v>
      </c>
      <c r="F188" s="8">
        <v>230</v>
      </c>
      <c r="G188" s="10">
        <v>48011.22</v>
      </c>
      <c r="H188" s="5">
        <v>13.640353436418955</v>
      </c>
      <c r="I188" s="4">
        <f t="shared" si="52"/>
        <v>4.7905468763343234E-3</v>
      </c>
      <c r="J188" s="4">
        <f t="shared" si="53"/>
        <v>6.8165941211241865E-2</v>
      </c>
      <c r="K188" s="5">
        <f t="shared" si="54"/>
        <v>8.4666231529636029</v>
      </c>
    </row>
    <row r="189" spans="1:22" x14ac:dyDescent="0.3">
      <c r="B189" s="2" t="s">
        <v>27</v>
      </c>
      <c r="C189" s="2">
        <v>2023</v>
      </c>
      <c r="D189" s="10">
        <v>8473.58</v>
      </c>
      <c r="E189" s="10">
        <v>43885.68</v>
      </c>
      <c r="F189" s="8">
        <v>0</v>
      </c>
      <c r="G189" s="10">
        <v>55995.38</v>
      </c>
      <c r="H189" s="5">
        <v>35.316884091193266</v>
      </c>
      <c r="I189" s="4">
        <f t="shared" si="52"/>
        <v>0</v>
      </c>
      <c r="J189" s="4">
        <f t="shared" si="53"/>
        <v>0.15132641300050112</v>
      </c>
      <c r="K189" s="5">
        <f t="shared" si="54"/>
        <v>19.308302845028262</v>
      </c>
    </row>
    <row r="190" spans="1:22" x14ac:dyDescent="0.3">
      <c r="B190" s="2" t="s">
        <v>27</v>
      </c>
      <c r="C190" s="2">
        <v>2024</v>
      </c>
      <c r="D190" s="10">
        <v>9576.3799999999992</v>
      </c>
      <c r="E190" s="10">
        <v>48496.85</v>
      </c>
      <c r="F190" s="8">
        <v>1</v>
      </c>
      <c r="G190" s="10">
        <v>63666.75</v>
      </c>
      <c r="H190" s="5">
        <v>39.913224690534733</v>
      </c>
      <c r="I190" s="4">
        <f t="shared" si="52"/>
        <v>1.5706785724102455E-5</v>
      </c>
      <c r="J190" s="4">
        <f t="shared" si="53"/>
        <v>0.15041414867258027</v>
      </c>
      <c r="K190" s="5">
        <f t="shared" si="54"/>
        <v>19.746395899939891</v>
      </c>
    </row>
    <row r="191" spans="1:22" x14ac:dyDescent="0.3">
      <c r="B191" s="2" t="s">
        <v>27</v>
      </c>
      <c r="C191" s="2">
        <v>2025</v>
      </c>
      <c r="D191" s="10">
        <v>10929.04</v>
      </c>
      <c r="E191" s="10">
        <v>52578.44</v>
      </c>
      <c r="F191" s="8">
        <v>3</v>
      </c>
      <c r="G191" s="10">
        <v>72218.01999999999</v>
      </c>
      <c r="H191" s="5">
        <v>45.550952361105324</v>
      </c>
      <c r="I191" s="4">
        <f t="shared" si="52"/>
        <v>4.1540878578504374E-5</v>
      </c>
      <c r="J191" s="4">
        <f t="shared" si="53"/>
        <v>0.15133397453987249</v>
      </c>
      <c r="K191" s="5">
        <f t="shared" si="54"/>
        <v>20.786162541148045</v>
      </c>
    </row>
    <row r="192" spans="1:22" x14ac:dyDescent="0.3">
      <c r="A192">
        <v>20</v>
      </c>
      <c r="B192" s="2" t="s">
        <v>28</v>
      </c>
      <c r="C192" s="2">
        <v>2016</v>
      </c>
      <c r="D192" s="10">
        <v>2130.6</v>
      </c>
      <c r="E192" s="10">
        <v>15568.3</v>
      </c>
      <c r="F192" s="8">
        <v>1068</v>
      </c>
      <c r="G192" s="10">
        <v>12569.8</v>
      </c>
      <c r="H192" s="5">
        <v>24.977725674091442</v>
      </c>
      <c r="I192" s="4">
        <f>F192/G192</f>
        <v>8.4965552355646082E-2</v>
      </c>
      <c r="J192" s="4">
        <f>D192/G192</f>
        <v>0.16950150360387595</v>
      </c>
      <c r="K192" s="5">
        <f>(D192/E192)*100</f>
        <v>13.685501949474252</v>
      </c>
      <c r="L192" s="4">
        <f>AVERAGE(J192:J201)</f>
        <v>0.14028789047531562</v>
      </c>
      <c r="M192" s="16"/>
      <c r="N192" s="15"/>
      <c r="O192" s="16"/>
      <c r="P192" s="16"/>
      <c r="Q192" s="15"/>
      <c r="R192" s="15"/>
      <c r="S192" s="15"/>
      <c r="T192" s="15"/>
      <c r="U192" s="15"/>
      <c r="V192" s="15"/>
    </row>
    <row r="193" spans="2:11" x14ac:dyDescent="0.3">
      <c r="B193" s="2" t="s">
        <v>28</v>
      </c>
      <c r="C193" s="2">
        <v>2017</v>
      </c>
      <c r="D193" s="10">
        <v>1292.0999999999999</v>
      </c>
      <c r="E193" s="10">
        <v>14196.1</v>
      </c>
      <c r="F193" s="8">
        <v>545</v>
      </c>
      <c r="G193" s="10">
        <v>12262.1</v>
      </c>
      <c r="H193" s="5">
        <v>15.591890913478942</v>
      </c>
      <c r="I193" s="4">
        <f t="shared" ref="I193:I201" si="55">F193/G193</f>
        <v>4.4445894259547709E-2</v>
      </c>
      <c r="J193" s="4">
        <f t="shared" ref="J193:J201" si="56">D193/G193</f>
        <v>0.10537346783992953</v>
      </c>
      <c r="K193" s="5">
        <f t="shared" ref="K193:K201" si="57">(D193/E193)*100</f>
        <v>9.1017955635702759</v>
      </c>
    </row>
    <row r="194" spans="2:11" x14ac:dyDescent="0.3">
      <c r="B194" s="2" t="s">
        <v>28</v>
      </c>
      <c r="C194" s="2">
        <v>2018</v>
      </c>
      <c r="D194" s="10">
        <v>946.8</v>
      </c>
      <c r="E194" s="10">
        <v>14281</v>
      </c>
      <c r="F194" s="8">
        <v>2509</v>
      </c>
      <c r="G194" s="10">
        <v>12571.6</v>
      </c>
      <c r="H194" s="5">
        <v>11.412729026036644</v>
      </c>
      <c r="I194" s="4">
        <f t="shared" si="55"/>
        <v>0.19957682395240064</v>
      </c>
      <c r="J194" s="4">
        <f t="shared" si="56"/>
        <v>7.5312609373508532E-2</v>
      </c>
      <c r="K194" s="5">
        <f t="shared" si="57"/>
        <v>6.6297878299838953</v>
      </c>
    </row>
    <row r="195" spans="2:11" x14ac:dyDescent="0.3">
      <c r="B195" s="2" t="s">
        <v>28</v>
      </c>
      <c r="C195" s="2">
        <v>2019</v>
      </c>
      <c r="D195" s="10">
        <v>1950</v>
      </c>
      <c r="E195" s="10">
        <v>15448.2</v>
      </c>
      <c r="F195" s="8">
        <v>2200</v>
      </c>
      <c r="G195" s="10">
        <v>14023.6</v>
      </c>
      <c r="H195" s="5">
        <v>23.485487173310851</v>
      </c>
      <c r="I195" s="4">
        <f t="shared" si="55"/>
        <v>0.15687840497447161</v>
      </c>
      <c r="J195" s="4">
        <f t="shared" si="56"/>
        <v>0.13905131350009983</v>
      </c>
      <c r="K195" s="5">
        <f t="shared" si="57"/>
        <v>12.622829844253699</v>
      </c>
    </row>
    <row r="196" spans="2:11" x14ac:dyDescent="0.3">
      <c r="B196" s="2" t="s">
        <v>28</v>
      </c>
      <c r="C196" s="2">
        <v>2020</v>
      </c>
      <c r="D196" s="10">
        <v>2026</v>
      </c>
      <c r="E196" s="10">
        <v>17517</v>
      </c>
      <c r="F196" s="8">
        <v>130</v>
      </c>
      <c r="G196" s="10">
        <v>15598.800000000001</v>
      </c>
      <c r="H196" s="5">
        <v>24.383198940907448</v>
      </c>
      <c r="I196" s="4">
        <f t="shared" si="55"/>
        <v>8.333974408287816E-3</v>
      </c>
      <c r="J196" s="4">
        <f t="shared" si="56"/>
        <v>0.12988178577839321</v>
      </c>
      <c r="K196" s="5">
        <f t="shared" si="57"/>
        <v>11.565907404235885</v>
      </c>
    </row>
    <row r="197" spans="2:11" x14ac:dyDescent="0.3">
      <c r="B197" s="2" t="s">
        <v>28</v>
      </c>
      <c r="C197" s="2">
        <v>2021</v>
      </c>
      <c r="D197" s="10">
        <v>1951.6</v>
      </c>
      <c r="E197" s="10">
        <v>19047.5</v>
      </c>
      <c r="F197" s="8">
        <v>380</v>
      </c>
      <c r="G197" s="10">
        <v>17641.7</v>
      </c>
      <c r="H197" s="5">
        <v>23.470835838845456</v>
      </c>
      <c r="I197" s="4">
        <f t="shared" si="55"/>
        <v>2.1539874275154889E-2</v>
      </c>
      <c r="J197" s="4">
        <f t="shared" si="56"/>
        <v>0.11062425956682179</v>
      </c>
      <c r="K197" s="5">
        <f t="shared" si="57"/>
        <v>10.245964037275233</v>
      </c>
    </row>
    <row r="198" spans="2:11" x14ac:dyDescent="0.3">
      <c r="B198" s="2" t="s">
        <v>28</v>
      </c>
      <c r="C198" s="2">
        <v>2022</v>
      </c>
      <c r="D198" s="10">
        <v>2182.5</v>
      </c>
      <c r="E198" s="10">
        <v>21545.200000000001</v>
      </c>
      <c r="F198" s="8">
        <v>380</v>
      </c>
      <c r="G198" s="10">
        <v>19212.400000000001</v>
      </c>
      <c r="H198" s="5">
        <v>26.228818651604378</v>
      </c>
      <c r="I198" s="4">
        <f t="shared" si="55"/>
        <v>1.9778892798401032E-2</v>
      </c>
      <c r="J198" s="4">
        <f t="shared" si="56"/>
        <v>0.11359850929607961</v>
      </c>
      <c r="K198" s="5">
        <f t="shared" si="57"/>
        <v>10.129866513190873</v>
      </c>
    </row>
    <row r="199" spans="2:11" x14ac:dyDescent="0.3">
      <c r="B199" s="2" t="s">
        <v>28</v>
      </c>
      <c r="C199" s="2">
        <v>2023</v>
      </c>
      <c r="D199" s="10">
        <v>4507.3</v>
      </c>
      <c r="E199" s="10">
        <v>24669.7</v>
      </c>
      <c r="F199" s="8">
        <v>0</v>
      </c>
      <c r="G199" s="10">
        <v>23286.1</v>
      </c>
      <c r="H199" s="5">
        <v>54.135239010329087</v>
      </c>
      <c r="I199" s="4">
        <f t="shared" si="55"/>
        <v>0</v>
      </c>
      <c r="J199" s="4">
        <f t="shared" si="56"/>
        <v>0.19356182443603698</v>
      </c>
      <c r="K199" s="5">
        <f t="shared" si="57"/>
        <v>18.270591048938574</v>
      </c>
    </row>
    <row r="200" spans="2:11" x14ac:dyDescent="0.3">
      <c r="B200" s="2" t="s">
        <v>28</v>
      </c>
      <c r="C200" s="2">
        <v>2024</v>
      </c>
      <c r="D200" s="10">
        <v>5577.9</v>
      </c>
      <c r="E200" s="10">
        <v>28011.1</v>
      </c>
      <c r="F200" s="8">
        <v>380</v>
      </c>
      <c r="G200" s="10">
        <v>28254.800000000003</v>
      </c>
      <c r="H200" s="5">
        <v>66.873276585541305</v>
      </c>
      <c r="I200" s="4">
        <f t="shared" si="55"/>
        <v>1.3449042286620324E-2</v>
      </c>
      <c r="J200" s="4">
        <f t="shared" si="56"/>
        <v>0.19741424465931448</v>
      </c>
      <c r="K200" s="5">
        <f t="shared" si="57"/>
        <v>19.913177276151238</v>
      </c>
    </row>
    <row r="201" spans="2:11" x14ac:dyDescent="0.3">
      <c r="B201" s="2" t="s">
        <v>28</v>
      </c>
      <c r="C201" s="2">
        <v>2025</v>
      </c>
      <c r="D201" s="10">
        <v>5655.1</v>
      </c>
      <c r="E201" s="10">
        <v>32643.9</v>
      </c>
      <c r="F201" s="8">
        <v>380</v>
      </c>
      <c r="G201" s="10">
        <v>33549.599999999999</v>
      </c>
      <c r="H201" s="5">
        <v>67.766327142001202</v>
      </c>
      <c r="I201" s="4">
        <f t="shared" si="55"/>
        <v>1.132651357989365E-2</v>
      </c>
      <c r="J201" s="4">
        <f t="shared" si="56"/>
        <v>0.16855938669909629</v>
      </c>
      <c r="K201" s="5">
        <f t="shared" si="57"/>
        <v>17.323604103676338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36D5-2E76-40FE-AB64-E8AC9EDF3C55}">
  <dimension ref="A1:K201"/>
  <sheetViews>
    <sheetView topLeftCell="B1" workbookViewId="0">
      <selection activeCell="G14" sqref="G14"/>
    </sheetView>
  </sheetViews>
  <sheetFormatPr defaultRowHeight="14.4" x14ac:dyDescent="0.3"/>
  <cols>
    <col min="7" max="7" width="9.88671875" bestFit="1" customWidth="1"/>
  </cols>
  <sheetData>
    <row r="1" spans="1:11" ht="72.599999999999994" thickBot="1" x14ac:dyDescent="0.35">
      <c r="A1" s="11" t="s">
        <v>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15" thickBot="1" x14ac:dyDescent="0.35">
      <c r="A2">
        <v>1</v>
      </c>
      <c r="B2" s="2" t="s">
        <v>9</v>
      </c>
      <c r="C2" s="2">
        <v>2016</v>
      </c>
      <c r="D2" s="3">
        <v>13489</v>
      </c>
      <c r="E2">
        <v>62441</v>
      </c>
      <c r="F2" s="2">
        <v>13354</v>
      </c>
      <c r="G2" s="4">
        <v>61744</v>
      </c>
      <c r="H2" s="4">
        <v>29.36</v>
      </c>
      <c r="I2" s="7">
        <f>F2/G2</f>
        <v>0.21628012438455557</v>
      </c>
      <c r="J2" s="4">
        <f>D2/G2</f>
        <v>0.2184665716506867</v>
      </c>
      <c r="K2" s="5">
        <f>(D2/E2)*100</f>
        <v>21.602793036626576</v>
      </c>
    </row>
    <row r="3" spans="1:11" ht="15" thickBot="1" x14ac:dyDescent="0.35">
      <c r="B3" s="2" t="s">
        <v>9</v>
      </c>
      <c r="C3" s="2">
        <v>2017</v>
      </c>
      <c r="D3" s="3">
        <v>14353</v>
      </c>
      <c r="E3" s="3">
        <v>68484</v>
      </c>
      <c r="F3">
        <v>14166</v>
      </c>
      <c r="G3" s="4">
        <v>68982</v>
      </c>
      <c r="H3" s="4">
        <v>31.24</v>
      </c>
      <c r="I3" s="7">
        <f t="shared" ref="I3:I11" si="0">F3/G3</f>
        <v>0.20535791945724971</v>
      </c>
      <c r="J3" s="4">
        <f t="shared" ref="J3:J31" si="1">D3/G3</f>
        <v>0.20806877156359629</v>
      </c>
      <c r="K3" s="5">
        <f t="shared" ref="K3:K11" si="2">(D3/E3)*100</f>
        <v>20.958180012849716</v>
      </c>
    </row>
    <row r="4" spans="1:11" ht="15" thickBot="1" x14ac:dyDescent="0.35">
      <c r="B4" s="2" t="s">
        <v>9</v>
      </c>
      <c r="C4" s="2">
        <v>2018</v>
      </c>
      <c r="D4" s="3">
        <v>16029</v>
      </c>
      <c r="E4" s="3">
        <v>70522</v>
      </c>
      <c r="F4">
        <v>14426</v>
      </c>
      <c r="G4" s="4">
        <v>64923</v>
      </c>
      <c r="H4" s="4">
        <v>36.69</v>
      </c>
      <c r="I4" s="7">
        <f t="shared" si="0"/>
        <v>0.22220168507308657</v>
      </c>
      <c r="J4" s="4">
        <f t="shared" si="1"/>
        <v>0.24689247262141306</v>
      </c>
      <c r="K4" s="5">
        <f t="shared" si="2"/>
        <v>22.729077451008195</v>
      </c>
    </row>
    <row r="5" spans="1:11" ht="15" thickBot="1" x14ac:dyDescent="0.35">
      <c r="B5" s="2" t="s">
        <v>9</v>
      </c>
      <c r="C5" s="2">
        <v>2019</v>
      </c>
      <c r="D5" s="3">
        <v>15404</v>
      </c>
      <c r="E5" s="3">
        <v>82675</v>
      </c>
      <c r="F5">
        <v>19118</v>
      </c>
      <c r="G5" s="4">
        <v>64948</v>
      </c>
      <c r="H5" s="4">
        <v>35.26</v>
      </c>
      <c r="I5" s="7">
        <f t="shared" si="0"/>
        <v>0.29435856377409619</v>
      </c>
      <c r="J5" s="4">
        <f t="shared" si="1"/>
        <v>0.23717435486851018</v>
      </c>
      <c r="K5" s="5">
        <f t="shared" si="2"/>
        <v>18.63199274266707</v>
      </c>
    </row>
    <row r="6" spans="1:11" ht="15" thickBot="1" x14ac:dyDescent="0.35">
      <c r="B6" s="2" t="s">
        <v>9</v>
      </c>
      <c r="C6" s="2">
        <v>2020</v>
      </c>
      <c r="D6" s="3">
        <v>16594</v>
      </c>
      <c r="E6" s="3">
        <v>90791</v>
      </c>
      <c r="F6">
        <v>26350</v>
      </c>
      <c r="G6" s="4">
        <v>65450</v>
      </c>
      <c r="H6" s="4">
        <v>38.96</v>
      </c>
      <c r="I6" s="7">
        <f t="shared" si="0"/>
        <v>0.40259740259740262</v>
      </c>
      <c r="J6" s="4">
        <f t="shared" si="1"/>
        <v>0.25353705118411002</v>
      </c>
      <c r="K6" s="5">
        <f t="shared" si="2"/>
        <v>18.277142007467699</v>
      </c>
    </row>
    <row r="7" spans="1:11" ht="15" thickBot="1" x14ac:dyDescent="0.35">
      <c r="B7" s="2" t="s">
        <v>9</v>
      </c>
      <c r="C7" s="2">
        <v>2021</v>
      </c>
      <c r="D7" s="3">
        <v>19351</v>
      </c>
      <c r="E7" s="3">
        <v>100472</v>
      </c>
      <c r="F7">
        <v>31160</v>
      </c>
      <c r="G7" s="4">
        <v>76351</v>
      </c>
      <c r="H7" s="4">
        <v>45.42</v>
      </c>
      <c r="I7" s="7">
        <f t="shared" si="0"/>
        <v>0.40811515238831186</v>
      </c>
      <c r="J7" s="4">
        <f t="shared" si="1"/>
        <v>0.2534478919726002</v>
      </c>
      <c r="K7" s="5">
        <f t="shared" si="2"/>
        <v>19.260092364041721</v>
      </c>
    </row>
    <row r="8" spans="1:11" ht="15" thickBot="1" x14ac:dyDescent="0.35">
      <c r="B8" s="2" t="s">
        <v>9</v>
      </c>
      <c r="C8" s="2">
        <v>2022</v>
      </c>
      <c r="D8" s="3">
        <v>22110</v>
      </c>
      <c r="E8" s="3">
        <v>121641</v>
      </c>
      <c r="F8">
        <v>41379</v>
      </c>
      <c r="G8" s="4">
        <v>75350</v>
      </c>
      <c r="H8" s="4">
        <v>52.56</v>
      </c>
      <c r="I8" s="7">
        <f t="shared" si="0"/>
        <v>0.54915726609157267</v>
      </c>
      <c r="J8" s="4">
        <f t="shared" si="1"/>
        <v>0.29343065693430659</v>
      </c>
      <c r="K8" s="5">
        <f t="shared" si="2"/>
        <v>18.176437221002786</v>
      </c>
    </row>
    <row r="9" spans="1:11" ht="15" thickBot="1" x14ac:dyDescent="0.35">
      <c r="B9" s="2" t="s">
        <v>9</v>
      </c>
      <c r="C9" s="2">
        <v>2023</v>
      </c>
      <c r="D9" s="3">
        <v>24095</v>
      </c>
      <c r="E9" s="3">
        <v>146767</v>
      </c>
      <c r="F9">
        <v>49189</v>
      </c>
      <c r="G9" s="4">
        <v>75407</v>
      </c>
      <c r="H9" s="4">
        <v>58.08</v>
      </c>
      <c r="I9" s="7">
        <f t="shared" si="0"/>
        <v>0.65231344570132743</v>
      </c>
      <c r="J9" s="4">
        <f t="shared" si="1"/>
        <v>0.31953266938082669</v>
      </c>
      <c r="K9" s="5">
        <f t="shared" si="2"/>
        <v>16.417178248516358</v>
      </c>
    </row>
    <row r="10" spans="1:11" ht="15" thickBot="1" x14ac:dyDescent="0.35">
      <c r="B10" s="2" t="s">
        <v>9</v>
      </c>
      <c r="C10" s="2">
        <v>2024</v>
      </c>
      <c r="D10" s="3">
        <v>26233</v>
      </c>
      <c r="E10" s="3">
        <v>153670</v>
      </c>
      <c r="F10">
        <v>49244</v>
      </c>
      <c r="G10" s="4">
        <v>88116</v>
      </c>
      <c r="H10" s="4">
        <v>63.2</v>
      </c>
      <c r="I10" s="7">
        <f t="shared" si="0"/>
        <v>0.55885423759589636</v>
      </c>
      <c r="J10" s="4">
        <f t="shared" si="1"/>
        <v>0.29770983703300197</v>
      </c>
      <c r="K10" s="5">
        <f t="shared" si="2"/>
        <v>17.070996290752912</v>
      </c>
    </row>
    <row r="11" spans="1:11" x14ac:dyDescent="0.3">
      <c r="B11" s="2" t="s">
        <v>9</v>
      </c>
      <c r="C11" s="2">
        <v>2025</v>
      </c>
      <c r="D11" s="3">
        <v>26713</v>
      </c>
      <c r="E11" s="3">
        <v>162990</v>
      </c>
      <c r="F11">
        <v>51977</v>
      </c>
      <c r="G11" s="4">
        <v>95818</v>
      </c>
      <c r="H11" s="4">
        <v>64.319999999999993</v>
      </c>
      <c r="I11" s="7">
        <f t="shared" si="0"/>
        <v>0.54245548853033876</v>
      </c>
      <c r="J11" s="4">
        <f t="shared" si="1"/>
        <v>0.27878895405873633</v>
      </c>
      <c r="K11" s="5">
        <f t="shared" si="2"/>
        <v>16.389349039818395</v>
      </c>
    </row>
    <row r="12" spans="1:11" x14ac:dyDescent="0.3">
      <c r="A12">
        <v>2</v>
      </c>
      <c r="B12" s="2" t="s">
        <v>10</v>
      </c>
      <c r="C12" s="2">
        <v>2016</v>
      </c>
      <c r="D12" s="3">
        <v>24270</v>
      </c>
      <c r="E12" s="3">
        <v>108646</v>
      </c>
      <c r="F12">
        <v>17219</v>
      </c>
      <c r="G12" s="6">
        <v>71072</v>
      </c>
      <c r="H12" s="5">
        <v>61.584917150904623</v>
      </c>
      <c r="I12" s="4">
        <f>F12/G12</f>
        <v>0.2422754389914453</v>
      </c>
      <c r="J12" s="4">
        <f t="shared" si="1"/>
        <v>0.3414846915803692</v>
      </c>
      <c r="K12" s="5">
        <f>(D12/E12)*100</f>
        <v>22.338604274432562</v>
      </c>
    </row>
    <row r="13" spans="1:11" x14ac:dyDescent="0.3">
      <c r="B13" s="2" t="s">
        <v>10</v>
      </c>
      <c r="C13" s="2">
        <v>2017</v>
      </c>
      <c r="D13" s="3">
        <v>26289</v>
      </c>
      <c r="E13" s="3">
        <v>117966</v>
      </c>
      <c r="F13">
        <v>16119</v>
      </c>
      <c r="G13" s="6">
        <v>86214</v>
      </c>
      <c r="H13" s="5">
        <v>66.708112360120793</v>
      </c>
      <c r="I13" s="4">
        <f t="shared" ref="I13:I21" si="3">F13/G13</f>
        <v>0.18696499408448744</v>
      </c>
      <c r="J13" s="4">
        <f t="shared" si="1"/>
        <v>0.30492727399262298</v>
      </c>
      <c r="K13" s="5">
        <f t="shared" ref="K13:K21" si="4">(D13/E13)*100</f>
        <v>22.285234728650629</v>
      </c>
    </row>
    <row r="14" spans="1:11" x14ac:dyDescent="0.3">
      <c r="B14" s="2" t="s">
        <v>10</v>
      </c>
      <c r="C14" s="2">
        <v>2018</v>
      </c>
      <c r="D14" s="3">
        <v>25826</v>
      </c>
      <c r="E14" s="3">
        <v>123104</v>
      </c>
      <c r="F14">
        <v>19998</v>
      </c>
      <c r="G14" s="6">
        <v>85128</v>
      </c>
      <c r="H14" s="5">
        <v>67.455466750248135</v>
      </c>
      <c r="I14" s="4">
        <f t="shared" si="3"/>
        <v>0.23491683112489428</v>
      </c>
      <c r="J14" s="4">
        <f t="shared" si="1"/>
        <v>0.30337844187576357</v>
      </c>
      <c r="K14" s="5">
        <f t="shared" si="4"/>
        <v>20.979009617884063</v>
      </c>
    </row>
    <row r="15" spans="1:11" x14ac:dyDescent="0.3">
      <c r="B15" s="2" t="s">
        <v>10</v>
      </c>
      <c r="C15" s="2">
        <v>2019</v>
      </c>
      <c r="D15" s="3">
        <v>31472</v>
      </c>
      <c r="E15" s="3">
        <v>146463</v>
      </c>
      <c r="F15">
        <v>24455</v>
      </c>
      <c r="G15" s="6">
        <v>89446</v>
      </c>
      <c r="H15" s="5">
        <v>83.871655473830074</v>
      </c>
      <c r="I15" s="4">
        <f t="shared" si="3"/>
        <v>0.27340518301545064</v>
      </c>
      <c r="J15" s="4">
        <f t="shared" si="1"/>
        <v>0.35185475035216779</v>
      </c>
      <c r="K15" s="5">
        <f t="shared" si="4"/>
        <v>21.488020865338004</v>
      </c>
    </row>
    <row r="16" spans="1:11" x14ac:dyDescent="0.3">
      <c r="B16" s="2" t="s">
        <v>10</v>
      </c>
      <c r="C16" s="2">
        <v>2020</v>
      </c>
      <c r="D16" s="3">
        <v>32340</v>
      </c>
      <c r="E16" s="3">
        <v>156949</v>
      </c>
      <c r="F16">
        <v>36001</v>
      </c>
      <c r="G16" s="6">
        <v>84126</v>
      </c>
      <c r="H16" s="5">
        <v>86.184841701311157</v>
      </c>
      <c r="I16" s="4">
        <f t="shared" si="3"/>
        <v>0.42794142120153106</v>
      </c>
      <c r="J16" s="4">
        <f t="shared" si="1"/>
        <v>0.38442336495257112</v>
      </c>
      <c r="K16" s="5">
        <f t="shared" si="4"/>
        <v>20.605419594900255</v>
      </c>
    </row>
    <row r="17" spans="1:11" x14ac:dyDescent="0.3">
      <c r="B17" s="2" t="s">
        <v>10</v>
      </c>
      <c r="C17" s="2">
        <v>2021</v>
      </c>
      <c r="D17" s="3">
        <v>32430</v>
      </c>
      <c r="E17" s="3">
        <v>164177</v>
      </c>
      <c r="F17">
        <v>43559</v>
      </c>
      <c r="G17" s="6">
        <v>86433</v>
      </c>
      <c r="H17" s="5">
        <v>87.669973777405303</v>
      </c>
      <c r="I17" s="4">
        <f t="shared" si="3"/>
        <v>0.50396260687468908</v>
      </c>
      <c r="J17" s="4">
        <f t="shared" si="1"/>
        <v>0.37520391517128876</v>
      </c>
      <c r="K17" s="5">
        <f t="shared" si="4"/>
        <v>19.753071380278602</v>
      </c>
    </row>
    <row r="18" spans="1:11" x14ac:dyDescent="0.3">
      <c r="B18" s="2" t="s">
        <v>10</v>
      </c>
      <c r="C18" s="2">
        <v>2022</v>
      </c>
      <c r="D18" s="3">
        <v>38327</v>
      </c>
      <c r="E18" s="3">
        <v>191754</v>
      </c>
      <c r="F18">
        <v>51785</v>
      </c>
      <c r="G18" s="6">
        <v>89139</v>
      </c>
      <c r="H18" s="5">
        <v>104.74433603891667</v>
      </c>
      <c r="I18" s="4">
        <f t="shared" si="3"/>
        <v>0.5809466114719708</v>
      </c>
      <c r="J18" s="4">
        <f t="shared" si="1"/>
        <v>0.42996892493745725</v>
      </c>
      <c r="K18" s="5">
        <f t="shared" si="4"/>
        <v>19.987588264130082</v>
      </c>
    </row>
    <row r="19" spans="1:11" x14ac:dyDescent="0.3">
      <c r="B19" s="2" t="s">
        <v>10</v>
      </c>
      <c r="C19" s="2">
        <v>2023</v>
      </c>
      <c r="D19" s="3">
        <v>42147</v>
      </c>
      <c r="E19" s="3">
        <v>225458</v>
      </c>
      <c r="F19">
        <v>52435</v>
      </c>
      <c r="G19" s="6">
        <v>90424</v>
      </c>
      <c r="H19" s="5">
        <v>115.1840616545052</v>
      </c>
      <c r="I19" s="4">
        <f t="shared" si="3"/>
        <v>0.57987923560116783</v>
      </c>
      <c r="J19" s="4">
        <f t="shared" si="1"/>
        <v>0.46610413164646552</v>
      </c>
      <c r="K19" s="5">
        <f t="shared" si="4"/>
        <v>18.693947431450646</v>
      </c>
    </row>
    <row r="20" spans="1:11" x14ac:dyDescent="0.3">
      <c r="B20" s="2" t="s">
        <v>10</v>
      </c>
      <c r="C20" s="2">
        <v>2024</v>
      </c>
      <c r="D20" s="3">
        <v>45908</v>
      </c>
      <c r="E20" s="3">
        <v>240893</v>
      </c>
      <c r="F20">
        <v>54983</v>
      </c>
      <c r="G20" s="6">
        <v>90489</v>
      </c>
      <c r="H20" s="5">
        <v>126.88427627760427</v>
      </c>
      <c r="I20" s="4">
        <f t="shared" si="3"/>
        <v>0.60762081578976446</v>
      </c>
      <c r="J20" s="4">
        <f t="shared" si="1"/>
        <v>0.50733238294157301</v>
      </c>
      <c r="K20" s="5">
        <f t="shared" si="4"/>
        <v>19.057423835478822</v>
      </c>
    </row>
    <row r="21" spans="1:11" x14ac:dyDescent="0.3">
      <c r="B21" s="2" t="s">
        <v>10</v>
      </c>
      <c r="C21" s="2">
        <v>2025</v>
      </c>
      <c r="D21" s="3">
        <v>48553</v>
      </c>
      <c r="E21" s="3">
        <v>255324</v>
      </c>
      <c r="F21">
        <v>63893</v>
      </c>
      <c r="G21" s="6">
        <v>94756</v>
      </c>
      <c r="H21" s="5">
        <v>134.1947430972057</v>
      </c>
      <c r="I21" s="4">
        <f t="shared" si="3"/>
        <v>0.67428975473848618</v>
      </c>
      <c r="J21" s="4">
        <f t="shared" si="1"/>
        <v>0.51240027016758838</v>
      </c>
      <c r="K21" s="5">
        <f t="shared" si="4"/>
        <v>19.01623035828986</v>
      </c>
    </row>
    <row r="22" spans="1:11" x14ac:dyDescent="0.3">
      <c r="A22">
        <v>3</v>
      </c>
      <c r="B22" s="2" t="s">
        <v>11</v>
      </c>
      <c r="C22" s="2">
        <v>2016</v>
      </c>
      <c r="D22" s="8">
        <v>8907.9</v>
      </c>
      <c r="E22" s="8">
        <v>51244</v>
      </c>
      <c r="F22" s="10">
        <v>25445.599999999999</v>
      </c>
      <c r="G22" s="6">
        <v>46144.799999999996</v>
      </c>
      <c r="H22" s="5">
        <v>6.7601882067238366</v>
      </c>
      <c r="I22" s="4">
        <f>F22/G22</f>
        <v>0.55142941349837904</v>
      </c>
      <c r="J22" s="4">
        <f t="shared" si="1"/>
        <v>0.1930423362979144</v>
      </c>
      <c r="K22" s="5">
        <f>(D22/E22)*100</f>
        <v>17.38330341113106</v>
      </c>
    </row>
    <row r="23" spans="1:11" x14ac:dyDescent="0.3">
      <c r="B23" s="2" t="s">
        <v>11</v>
      </c>
      <c r="C23" s="2">
        <v>2017</v>
      </c>
      <c r="D23" s="8">
        <v>8493.1</v>
      </c>
      <c r="E23" s="8">
        <v>55448.4</v>
      </c>
      <c r="F23" s="10">
        <v>27002</v>
      </c>
      <c r="G23" s="6">
        <v>51670.2</v>
      </c>
      <c r="H23" s="5">
        <v>6.5508916450697274</v>
      </c>
      <c r="I23" s="4">
        <f t="shared" ref="I23:I31" si="5">F23/G23</f>
        <v>0.52258361686233068</v>
      </c>
      <c r="J23" s="4">
        <f t="shared" si="1"/>
        <v>0.1643713397664418</v>
      </c>
      <c r="K23" s="5">
        <f t="shared" ref="K23:K31" si="6">(D23/E23)*100</f>
        <v>15.31712366813109</v>
      </c>
    </row>
    <row r="24" spans="1:11" x14ac:dyDescent="0.3">
      <c r="B24" s="2" t="s">
        <v>11</v>
      </c>
      <c r="C24" s="2">
        <v>2018</v>
      </c>
      <c r="D24" s="8">
        <v>8002.8</v>
      </c>
      <c r="E24" s="8">
        <v>54487.1</v>
      </c>
      <c r="F24" s="10">
        <v>27464.5</v>
      </c>
      <c r="G24" s="6">
        <v>47926.3</v>
      </c>
      <c r="H24" s="5">
        <v>6.6338956355949774</v>
      </c>
      <c r="I24" s="4">
        <f t="shared" si="5"/>
        <v>0.57305696454764921</v>
      </c>
      <c r="J24" s="4">
        <f t="shared" si="1"/>
        <v>0.16698138600309223</v>
      </c>
      <c r="K24" s="5">
        <f t="shared" si="6"/>
        <v>14.687513191195714</v>
      </c>
    </row>
    <row r="25" spans="1:11" x14ac:dyDescent="0.3">
      <c r="B25" s="2" t="s">
        <v>11</v>
      </c>
      <c r="C25" s="2">
        <v>2019</v>
      </c>
      <c r="D25" s="8">
        <v>9003.7000000000007</v>
      </c>
      <c r="E25" s="8">
        <v>59018.9</v>
      </c>
      <c r="F25" s="10">
        <v>26163.800000000003</v>
      </c>
      <c r="G25" s="6">
        <v>56422.600000000006</v>
      </c>
      <c r="H25" s="5">
        <v>7.4608672594237611</v>
      </c>
      <c r="I25" s="4">
        <f t="shared" si="5"/>
        <v>0.46371134970738676</v>
      </c>
      <c r="J25" s="4">
        <f t="shared" si="1"/>
        <v>0.15957612729650883</v>
      </c>
      <c r="K25" s="5">
        <f t="shared" si="6"/>
        <v>15.255621504297775</v>
      </c>
    </row>
    <row r="26" spans="1:11" x14ac:dyDescent="0.3">
      <c r="B26" s="2" t="s">
        <v>11</v>
      </c>
      <c r="C26" s="2">
        <v>2020</v>
      </c>
      <c r="D26" s="8">
        <v>9722.2999999999993</v>
      </c>
      <c r="E26" s="8">
        <v>61137.599999999999</v>
      </c>
      <c r="F26" s="10">
        <v>25677.9</v>
      </c>
      <c r="G26" s="6">
        <v>55321.7</v>
      </c>
      <c r="H26" s="5">
        <v>8.5084057514417974</v>
      </c>
      <c r="I26" s="4">
        <f t="shared" si="5"/>
        <v>0.46415601834361564</v>
      </c>
      <c r="J26" s="4">
        <f t="shared" si="1"/>
        <v>0.17574116485935898</v>
      </c>
      <c r="K26" s="5">
        <f t="shared" si="6"/>
        <v>15.902325246656721</v>
      </c>
    </row>
    <row r="27" spans="1:11" x14ac:dyDescent="0.3">
      <c r="B27" s="2" t="s">
        <v>11</v>
      </c>
      <c r="C27" s="2">
        <v>2021</v>
      </c>
      <c r="D27" s="8">
        <v>10796.4</v>
      </c>
      <c r="E27" s="8">
        <v>61934.9</v>
      </c>
      <c r="F27" s="10">
        <v>27664.800000000003</v>
      </c>
      <c r="G27" s="6">
        <v>54901</v>
      </c>
      <c r="H27" s="5">
        <v>9.8522581057280778</v>
      </c>
      <c r="I27" s="4">
        <f t="shared" si="5"/>
        <v>0.50390338973789195</v>
      </c>
      <c r="J27" s="4">
        <f t="shared" si="1"/>
        <v>0.196652155698439</v>
      </c>
      <c r="K27" s="5">
        <f t="shared" si="6"/>
        <v>17.431851831519868</v>
      </c>
    </row>
    <row r="28" spans="1:11" x14ac:dyDescent="0.3">
      <c r="B28" s="2" t="s">
        <v>11</v>
      </c>
      <c r="C28" s="2">
        <v>2022</v>
      </c>
      <c r="D28" s="8">
        <v>12229.6</v>
      </c>
      <c r="E28" s="8">
        <v>79312</v>
      </c>
      <c r="F28" s="10">
        <v>41872.600000000006</v>
      </c>
      <c r="G28" s="6">
        <v>65403</v>
      </c>
      <c r="H28" s="5">
        <v>11.154221504729071</v>
      </c>
      <c r="I28" s="4">
        <f t="shared" si="5"/>
        <v>0.64022445453572474</v>
      </c>
      <c r="J28" s="4">
        <f t="shared" si="1"/>
        <v>0.18698836444811401</v>
      </c>
      <c r="K28" s="5">
        <f t="shared" si="6"/>
        <v>15.419608634254589</v>
      </c>
    </row>
    <row r="29" spans="1:11" x14ac:dyDescent="0.3">
      <c r="B29" s="2" t="s">
        <v>11</v>
      </c>
      <c r="C29" s="2">
        <v>2023</v>
      </c>
      <c r="D29" s="8">
        <v>11350</v>
      </c>
      <c r="E29" s="8">
        <v>90487.6</v>
      </c>
      <c r="F29" s="10">
        <v>39255.800000000003</v>
      </c>
      <c r="G29" s="6">
        <v>77667.900000000009</v>
      </c>
      <c r="H29" s="5">
        <v>10.340931868292062</v>
      </c>
      <c r="I29" s="4">
        <f t="shared" si="5"/>
        <v>0.50543145881374418</v>
      </c>
      <c r="J29" s="4">
        <f t="shared" si="1"/>
        <v>0.14613501845678845</v>
      </c>
      <c r="K29" s="5">
        <f t="shared" si="6"/>
        <v>12.543155084232534</v>
      </c>
    </row>
    <row r="30" spans="1:11" x14ac:dyDescent="0.3">
      <c r="B30" s="2" t="s">
        <v>11</v>
      </c>
      <c r="C30" s="2">
        <v>2024</v>
      </c>
      <c r="D30" s="8">
        <v>11045.2</v>
      </c>
      <c r="E30" s="8">
        <v>89760.3</v>
      </c>
      <c r="F30" s="10">
        <v>40075.9</v>
      </c>
      <c r="G30" s="6">
        <v>74988.3</v>
      </c>
      <c r="H30" s="5">
        <v>10.569265954087443</v>
      </c>
      <c r="I30" s="4">
        <f t="shared" si="5"/>
        <v>0.53442870421119026</v>
      </c>
      <c r="J30" s="4">
        <f t="shared" si="1"/>
        <v>0.14729231093383902</v>
      </c>
      <c r="K30" s="5">
        <f t="shared" si="6"/>
        <v>12.305217339959871</v>
      </c>
    </row>
    <row r="31" spans="1:11" x14ac:dyDescent="0.3">
      <c r="B31" s="2" t="s">
        <v>11</v>
      </c>
      <c r="C31" s="2">
        <v>2025</v>
      </c>
      <c r="D31" s="8">
        <v>13135.4</v>
      </c>
      <c r="E31" s="9">
        <v>89088.4</v>
      </c>
      <c r="F31" s="10">
        <v>45565</v>
      </c>
      <c r="G31">
        <v>82831</v>
      </c>
      <c r="H31" s="5">
        <v>12.543233926337601</v>
      </c>
      <c r="I31" s="4">
        <f t="shared" si="5"/>
        <v>0.55009597855875214</v>
      </c>
      <c r="J31" s="4">
        <f t="shared" si="1"/>
        <v>0.15858072460793662</v>
      </c>
      <c r="K31" s="5">
        <f t="shared" si="6"/>
        <v>14.744231572236115</v>
      </c>
    </row>
    <row r="32" spans="1:11" x14ac:dyDescent="0.3">
      <c r="A32">
        <v>4</v>
      </c>
      <c r="B32" s="2" t="s">
        <v>12</v>
      </c>
      <c r="C32" s="2">
        <v>2016</v>
      </c>
      <c r="D32" s="8">
        <v>12224.6</v>
      </c>
      <c r="E32" s="8">
        <v>220632.75</v>
      </c>
      <c r="F32" s="10">
        <f>D32+E32</f>
        <v>232857.35</v>
      </c>
      <c r="G32" s="6">
        <v>180592.37</v>
      </c>
      <c r="H32" s="5">
        <v>15.747668367084042</v>
      </c>
      <c r="I32" s="4">
        <f>F32/G32</f>
        <v>1.2894085724662676</v>
      </c>
      <c r="J32" s="4">
        <f>D32/G32</f>
        <v>6.7691674902987317E-2</v>
      </c>
      <c r="K32" s="5">
        <f>(D32/E32)*100</f>
        <v>5.5407005532950118</v>
      </c>
    </row>
    <row r="33" spans="1:11" x14ac:dyDescent="0.3">
      <c r="B33" s="2" t="s">
        <v>12</v>
      </c>
      <c r="C33" s="2">
        <v>2017</v>
      </c>
      <c r="D33" s="8">
        <v>241.23</v>
      </c>
      <c r="E33" s="8">
        <v>230447.1</v>
      </c>
      <c r="F33" s="10">
        <f t="shared" ref="F33:F41" si="7">D33+E33</f>
        <v>230688.33000000002</v>
      </c>
      <c r="G33" s="6">
        <v>217192.15</v>
      </c>
      <c r="H33" s="5">
        <v>0.30253966263247006</v>
      </c>
      <c r="I33" s="4">
        <f t="shared" ref="I33:I41" si="8">F33/G33</f>
        <v>1.0621393544840365</v>
      </c>
      <c r="J33" s="4">
        <f t="shared" ref="J33:J41" si="9">D33/G33</f>
        <v>1.11067550093316E-3</v>
      </c>
      <c r="K33" s="5">
        <f t="shared" ref="K33:K41" si="10">(D33/E33)*100</f>
        <v>0.10467912158582163</v>
      </c>
    </row>
    <row r="34" spans="1:11" x14ac:dyDescent="0.3">
      <c r="B34" s="2" t="s">
        <v>12</v>
      </c>
      <c r="C34" s="2">
        <v>2018</v>
      </c>
      <c r="D34" s="8">
        <v>-4556.29</v>
      </c>
      <c r="E34" s="8">
        <v>228970.28</v>
      </c>
      <c r="F34" s="10">
        <f t="shared" si="7"/>
        <v>224413.99</v>
      </c>
      <c r="G34" s="6">
        <v>230321.94999999998</v>
      </c>
      <c r="H34" s="5">
        <v>-5.1053156443986278</v>
      </c>
      <c r="I34" s="4">
        <f t="shared" si="8"/>
        <v>0.97434912304276688</v>
      </c>
      <c r="J34" s="4">
        <f t="shared" si="9"/>
        <v>-1.9782265650321214E-2</v>
      </c>
      <c r="K34" s="5">
        <f t="shared" si="10"/>
        <v>-1.9899045413230048</v>
      </c>
    </row>
    <row r="35" spans="1:11" x14ac:dyDescent="0.3">
      <c r="B35" s="2" t="s">
        <v>12</v>
      </c>
      <c r="C35" s="2">
        <v>2019</v>
      </c>
      <c r="D35" s="8">
        <v>2299.64</v>
      </c>
      <c r="E35" s="8">
        <v>253322.17</v>
      </c>
      <c r="F35" s="10">
        <f t="shared" si="7"/>
        <v>255621.81000000003</v>
      </c>
      <c r="G35" s="6">
        <v>234495.66</v>
      </c>
      <c r="H35" s="5">
        <v>2.5767429352576023</v>
      </c>
      <c r="I35" s="4">
        <f t="shared" si="8"/>
        <v>1.0900918592693785</v>
      </c>
      <c r="J35" s="4">
        <f t="shared" si="9"/>
        <v>9.8067486622140463E-3</v>
      </c>
      <c r="K35" s="5">
        <f t="shared" si="10"/>
        <v>0.90779263417805067</v>
      </c>
    </row>
    <row r="36" spans="1:11" x14ac:dyDescent="0.3">
      <c r="B36" s="2" t="s">
        <v>12</v>
      </c>
      <c r="C36" s="2">
        <v>2020</v>
      </c>
      <c r="D36" s="8">
        <v>19767.8</v>
      </c>
      <c r="E36" s="8">
        <v>269851.65999999997</v>
      </c>
      <c r="F36" s="10">
        <f t="shared" si="7"/>
        <v>289619.45999999996</v>
      </c>
      <c r="G36" s="6">
        <v>251060.12</v>
      </c>
      <c r="H36" s="5">
        <v>22.149788225802837</v>
      </c>
      <c r="I36" s="4">
        <f t="shared" si="8"/>
        <v>1.1535860812939944</v>
      </c>
      <c r="J36" s="4">
        <f t="shared" si="9"/>
        <v>7.8737315986306386E-2</v>
      </c>
      <c r="K36" s="5">
        <f t="shared" si="10"/>
        <v>7.3254320540403564</v>
      </c>
    </row>
    <row r="37" spans="1:11" x14ac:dyDescent="0.3">
      <c r="B37" s="2" t="s">
        <v>12</v>
      </c>
      <c r="C37" s="2">
        <v>2021</v>
      </c>
      <c r="D37" s="8">
        <v>22405.46</v>
      </c>
      <c r="E37" s="8">
        <v>278115.48</v>
      </c>
      <c r="F37" s="10">
        <f t="shared" si="7"/>
        <v>300520.94</v>
      </c>
      <c r="G37" s="6">
        <v>275561.56</v>
      </c>
      <c r="H37" s="5">
        <v>25.105282029446695</v>
      </c>
      <c r="I37" s="4">
        <f t="shared" si="8"/>
        <v>1.0905764214718483</v>
      </c>
      <c r="J37" s="4">
        <f t="shared" si="9"/>
        <v>8.130836536126447E-2</v>
      </c>
      <c r="K37" s="5">
        <f t="shared" si="10"/>
        <v>8.0561714867507561</v>
      </c>
    </row>
    <row r="38" spans="1:11" x14ac:dyDescent="0.3">
      <c r="B38" s="2" t="s">
        <v>12</v>
      </c>
      <c r="C38" s="2">
        <v>2022</v>
      </c>
      <c r="D38" s="8">
        <v>35373.879999999997</v>
      </c>
      <c r="E38" s="8">
        <v>289972.69</v>
      </c>
      <c r="F38" s="10">
        <f t="shared" si="7"/>
        <v>325346.57</v>
      </c>
      <c r="G38" s="6">
        <v>305588.04000000004</v>
      </c>
      <c r="H38" s="5">
        <v>39.636375859982515</v>
      </c>
      <c r="I38" s="4">
        <f t="shared" si="8"/>
        <v>1.0646574060948195</v>
      </c>
      <c r="J38" s="4">
        <f t="shared" si="9"/>
        <v>0.11575675540181479</v>
      </c>
      <c r="K38" s="5">
        <f t="shared" si="10"/>
        <v>12.199038468070906</v>
      </c>
    </row>
    <row r="39" spans="1:11" x14ac:dyDescent="0.3">
      <c r="B39" s="2" t="s">
        <v>12</v>
      </c>
      <c r="C39" s="2">
        <v>2023</v>
      </c>
      <c r="D39" s="8">
        <v>55648.17</v>
      </c>
      <c r="E39" s="8">
        <v>350844.58</v>
      </c>
      <c r="F39" s="10">
        <f t="shared" si="7"/>
        <v>406492.75</v>
      </c>
      <c r="G39" s="6">
        <v>358931.32</v>
      </c>
      <c r="H39" s="5">
        <v>62.353685319229989</v>
      </c>
      <c r="I39" s="4">
        <f t="shared" si="8"/>
        <v>1.1325084420050053</v>
      </c>
      <c r="J39" s="4">
        <f t="shared" si="9"/>
        <v>0.1550384903719185</v>
      </c>
      <c r="K39" s="5">
        <f t="shared" si="10"/>
        <v>15.861202701207469</v>
      </c>
    </row>
    <row r="40" spans="1:11" x14ac:dyDescent="0.3">
      <c r="B40" s="2" t="s">
        <v>12</v>
      </c>
      <c r="C40" s="2">
        <v>2024</v>
      </c>
      <c r="D40" s="8">
        <v>67084.67</v>
      </c>
      <c r="E40" s="8">
        <v>439188.51</v>
      </c>
      <c r="F40" s="10">
        <f t="shared" si="7"/>
        <v>506273.18</v>
      </c>
      <c r="G40" s="6">
        <v>414939.17000000004</v>
      </c>
      <c r="H40" s="5">
        <v>75.168265244380692</v>
      </c>
      <c r="I40" s="4">
        <f t="shared" si="8"/>
        <v>1.2201142157777005</v>
      </c>
      <c r="J40" s="4">
        <f t="shared" si="9"/>
        <v>0.16167350505858483</v>
      </c>
      <c r="K40" s="5">
        <f t="shared" si="10"/>
        <v>15.274686944792796</v>
      </c>
    </row>
    <row r="41" spans="1:11" x14ac:dyDescent="0.3">
      <c r="B41" s="2" t="s">
        <v>12</v>
      </c>
      <c r="C41" s="2">
        <v>2025</v>
      </c>
      <c r="D41" s="8">
        <v>77561.34</v>
      </c>
      <c r="E41" s="8">
        <v>490937.79</v>
      </c>
      <c r="F41" s="10">
        <f t="shared" si="7"/>
        <v>568499.13</v>
      </c>
      <c r="G41" s="6">
        <v>487036.76</v>
      </c>
      <c r="H41" s="5">
        <v>86.907357192479211</v>
      </c>
      <c r="I41" s="4">
        <f t="shared" si="8"/>
        <v>1.1672612350657063</v>
      </c>
      <c r="J41" s="4">
        <f t="shared" si="9"/>
        <v>0.15925151111796981</v>
      </c>
      <c r="K41" s="5">
        <f t="shared" si="10"/>
        <v>15.798608618008403</v>
      </c>
    </row>
    <row r="42" spans="1:11" x14ac:dyDescent="0.3">
      <c r="A42">
        <v>5</v>
      </c>
      <c r="B42" s="2" t="s">
        <v>13</v>
      </c>
      <c r="C42" s="2">
        <v>2016</v>
      </c>
      <c r="D42" s="8">
        <v>12801.33</v>
      </c>
      <c r="E42" s="8">
        <v>63161.56</v>
      </c>
      <c r="F42" s="10">
        <v>687908.2</v>
      </c>
      <c r="G42" s="6">
        <v>74304.13</v>
      </c>
      <c r="H42" s="5">
        <v>12.658541650185903</v>
      </c>
      <c r="I42" s="4">
        <f>F42/G42</f>
        <v>9.2580075966167676</v>
      </c>
      <c r="J42" s="4">
        <f>D42/G42</f>
        <v>0.17228288656364052</v>
      </c>
      <c r="K42" s="5">
        <f>(D42/E42)*100</f>
        <v>20.267596303827833</v>
      </c>
    </row>
    <row r="43" spans="1:11" x14ac:dyDescent="0.3">
      <c r="B43" s="2" t="s">
        <v>13</v>
      </c>
      <c r="C43" s="2">
        <v>2017</v>
      </c>
      <c r="D43" s="8">
        <v>15280.48</v>
      </c>
      <c r="E43" s="8">
        <v>73271.350000000006</v>
      </c>
      <c r="F43" s="10">
        <v>800550.21</v>
      </c>
      <c r="G43" s="6">
        <v>91793.95</v>
      </c>
      <c r="H43" s="5">
        <v>14.90749448791243</v>
      </c>
      <c r="I43" s="4">
        <f t="shared" ref="I43:I51" si="11">F43/G43</f>
        <v>8.7211652837687019</v>
      </c>
      <c r="J43" s="4">
        <f t="shared" ref="J43:J51" si="12">D43/G43</f>
        <v>0.16646500123374144</v>
      </c>
      <c r="K43" s="5">
        <f t="shared" ref="K43:K51" si="13">(D43/E43)*100</f>
        <v>20.854645096616888</v>
      </c>
    </row>
    <row r="44" spans="1:11" x14ac:dyDescent="0.3">
      <c r="B44" s="2" t="s">
        <v>13</v>
      </c>
      <c r="C44" s="2">
        <v>2018</v>
      </c>
      <c r="D44" s="8">
        <v>18510.02</v>
      </c>
      <c r="E44" s="8">
        <v>85287.84</v>
      </c>
      <c r="F44" s="10">
        <v>993587.03999999992</v>
      </c>
      <c r="G44" s="6">
        <v>109599.13</v>
      </c>
      <c r="H44" s="5">
        <v>17.831702053870757</v>
      </c>
      <c r="I44" s="4">
        <f t="shared" si="11"/>
        <v>9.065647145191754</v>
      </c>
      <c r="J44" s="4">
        <f t="shared" si="12"/>
        <v>0.16888838442421941</v>
      </c>
      <c r="K44" s="5">
        <f t="shared" si="13"/>
        <v>21.70300009942801</v>
      </c>
    </row>
    <row r="45" spans="1:11" x14ac:dyDescent="0.3">
      <c r="B45" s="2" t="s">
        <v>13</v>
      </c>
      <c r="C45" s="2">
        <v>2019</v>
      </c>
      <c r="D45" s="8">
        <v>22332.43</v>
      </c>
      <c r="E45" s="8">
        <v>105160.74</v>
      </c>
      <c r="F45" s="10">
        <v>1139133.05</v>
      </c>
      <c r="G45" s="6">
        <v>153672.66</v>
      </c>
      <c r="H45" s="5">
        <v>20.501257665332503</v>
      </c>
      <c r="I45" s="4">
        <f t="shared" si="11"/>
        <v>7.4127242282394281</v>
      </c>
      <c r="J45" s="4">
        <f t="shared" si="12"/>
        <v>0.14532467909386093</v>
      </c>
      <c r="K45" s="5">
        <f t="shared" si="13"/>
        <v>21.236470949139381</v>
      </c>
    </row>
    <row r="46" spans="1:11" x14ac:dyDescent="0.3">
      <c r="B46" s="2" t="s">
        <v>13</v>
      </c>
      <c r="C46" s="2">
        <v>2020</v>
      </c>
      <c r="D46" s="8">
        <v>27253.95</v>
      </c>
      <c r="E46" s="8">
        <v>122189.29</v>
      </c>
      <c r="F46" s="10">
        <v>1404471.72</v>
      </c>
      <c r="G46" s="6">
        <v>176358.71</v>
      </c>
      <c r="H46" s="5">
        <v>24.85177721445115</v>
      </c>
      <c r="I46" s="4">
        <f t="shared" si="11"/>
        <v>7.9637218938605301</v>
      </c>
      <c r="J46" s="4">
        <f t="shared" si="12"/>
        <v>0.15453702286663359</v>
      </c>
      <c r="K46" s="5">
        <f t="shared" si="13"/>
        <v>22.304696262659355</v>
      </c>
    </row>
    <row r="47" spans="1:11" x14ac:dyDescent="0.3">
      <c r="B47" s="2" t="s">
        <v>13</v>
      </c>
      <c r="C47" s="2">
        <v>2021</v>
      </c>
      <c r="D47" s="8">
        <v>31833.21</v>
      </c>
      <c r="E47" s="8">
        <v>128552.4</v>
      </c>
      <c r="F47" s="10">
        <v>1589696.4500000002</v>
      </c>
      <c r="G47" s="6">
        <v>209810.18</v>
      </c>
      <c r="H47" s="5">
        <v>28.872088593818024</v>
      </c>
      <c r="I47" s="4">
        <f t="shared" si="11"/>
        <v>7.5768318296090316</v>
      </c>
      <c r="J47" s="4">
        <f t="shared" si="12"/>
        <v>0.15172385820363912</v>
      </c>
      <c r="K47" s="5">
        <f t="shared" si="13"/>
        <v>24.762828231911659</v>
      </c>
    </row>
    <row r="48" spans="1:11" x14ac:dyDescent="0.3">
      <c r="B48" s="2" t="s">
        <v>13</v>
      </c>
      <c r="C48" s="2">
        <v>2022</v>
      </c>
      <c r="D48" s="8">
        <v>38052.75</v>
      </c>
      <c r="E48" s="8">
        <v>135936.41</v>
      </c>
      <c r="F48" s="10">
        <v>1875608.1300000001</v>
      </c>
      <c r="G48" s="6">
        <v>247326.16999999998</v>
      </c>
      <c r="H48" s="5">
        <v>34.309265988044473</v>
      </c>
      <c r="I48" s="4">
        <f t="shared" si="11"/>
        <v>7.5835409168386843</v>
      </c>
      <c r="J48" s="4">
        <f t="shared" si="12"/>
        <v>0.15385654498268422</v>
      </c>
      <c r="K48" s="5">
        <f t="shared" si="13"/>
        <v>27.993052045438009</v>
      </c>
    </row>
    <row r="49" spans="1:11" x14ac:dyDescent="0.3">
      <c r="B49" s="2" t="s">
        <v>13</v>
      </c>
      <c r="C49" s="2">
        <v>2023</v>
      </c>
      <c r="D49" s="8">
        <v>45997.11</v>
      </c>
      <c r="E49" s="8">
        <v>170754.05</v>
      </c>
      <c r="F49" s="10">
        <v>2240994.94</v>
      </c>
      <c r="G49" s="6">
        <v>289437.5</v>
      </c>
      <c r="H49" s="5">
        <v>41.217895066983289</v>
      </c>
      <c r="I49" s="4">
        <f t="shared" si="11"/>
        <v>7.7425867069747349</v>
      </c>
      <c r="J49" s="4">
        <f t="shared" si="12"/>
        <v>0.1589189721442453</v>
      </c>
      <c r="K49" s="5">
        <f t="shared" si="13"/>
        <v>26.937639253651675</v>
      </c>
    </row>
    <row r="50" spans="1:11" x14ac:dyDescent="0.3">
      <c r="B50" s="2" t="s">
        <v>13</v>
      </c>
      <c r="C50" s="2">
        <v>2024</v>
      </c>
      <c r="D50" s="8">
        <v>64062.04</v>
      </c>
      <c r="E50" s="8">
        <v>283649.02</v>
      </c>
      <c r="F50" s="10">
        <v>3573799.0100000002</v>
      </c>
      <c r="G50" s="6">
        <v>456395.25</v>
      </c>
      <c r="H50" s="5">
        <v>42.163277126196206</v>
      </c>
      <c r="I50" s="4">
        <f t="shared" si="11"/>
        <v>7.8304912463484229</v>
      </c>
      <c r="J50" s="4">
        <f t="shared" si="12"/>
        <v>0.1403652645377006</v>
      </c>
      <c r="K50" s="5">
        <f t="shared" si="13"/>
        <v>22.58496785922264</v>
      </c>
    </row>
    <row r="51" spans="1:11" x14ac:dyDescent="0.3">
      <c r="B51" s="2" t="s">
        <v>13</v>
      </c>
      <c r="C51" s="2">
        <v>2025</v>
      </c>
      <c r="D51" s="8">
        <v>70792.25</v>
      </c>
      <c r="E51" s="8">
        <v>336367.43</v>
      </c>
      <c r="F51" s="10">
        <v>3870320.44</v>
      </c>
      <c r="G51" s="6">
        <v>521789.38999999996</v>
      </c>
      <c r="H51" s="5">
        <v>46.256142024515825</v>
      </c>
      <c r="I51" s="4">
        <f t="shared" si="11"/>
        <v>7.4173996523769876</v>
      </c>
      <c r="J51" s="4">
        <f t="shared" si="12"/>
        <v>0.13567207642915086</v>
      </c>
      <c r="K51" s="5">
        <f t="shared" si="13"/>
        <v>21.046107228633879</v>
      </c>
    </row>
    <row r="52" spans="1:11" x14ac:dyDescent="0.3">
      <c r="A52">
        <v>6</v>
      </c>
      <c r="B52" s="2" t="s">
        <v>14</v>
      </c>
      <c r="C52" s="2">
        <v>2016</v>
      </c>
      <c r="D52" s="8">
        <v>10179.959999999999</v>
      </c>
      <c r="E52" s="8">
        <v>59293.71</v>
      </c>
      <c r="F52" s="10">
        <v>824645.48</v>
      </c>
      <c r="G52" s="6">
        <v>94110.720000000001</v>
      </c>
      <c r="H52" s="5">
        <v>15.915637409712016</v>
      </c>
      <c r="I52" s="4">
        <f>F52/G52</f>
        <v>8.7625031452314879</v>
      </c>
      <c r="J52" s="4">
        <f>D52/G52</f>
        <v>0.10817003631467274</v>
      </c>
      <c r="K52" s="5">
        <f>(D52/E52)*100</f>
        <v>17.168701368155237</v>
      </c>
    </row>
    <row r="53" spans="1:11" x14ac:dyDescent="0.3">
      <c r="B53" s="2" t="s">
        <v>14</v>
      </c>
      <c r="C53" s="2">
        <v>2017</v>
      </c>
      <c r="D53" s="8">
        <v>10188.379999999999</v>
      </c>
      <c r="E53" s="8">
        <v>60939.98</v>
      </c>
      <c r="F53" s="10">
        <v>881092.65</v>
      </c>
      <c r="G53" s="6">
        <v>104632</v>
      </c>
      <c r="H53" s="5">
        <v>15.902199191496665</v>
      </c>
      <c r="I53" s="4">
        <f t="shared" ref="I53:I61" si="14">F53/G53</f>
        <v>8.4208717218441773</v>
      </c>
      <c r="J53" s="4">
        <f t="shared" ref="J53:J61" si="15">D53/G53</f>
        <v>9.7373461273797687E-2</v>
      </c>
      <c r="K53" s="5">
        <f t="shared" ref="K53:K61" si="16">(D53/E53)*100</f>
        <v>16.71871241178615</v>
      </c>
    </row>
    <row r="54" spans="1:11" x14ac:dyDescent="0.3">
      <c r="B54" s="2" t="s">
        <v>14</v>
      </c>
      <c r="C54" s="2">
        <v>2018</v>
      </c>
      <c r="D54" s="8">
        <v>7712.19</v>
      </c>
      <c r="E54" s="8">
        <v>62162.35</v>
      </c>
      <c r="F54" s="10">
        <v>1013651.35</v>
      </c>
      <c r="G54" s="6">
        <v>110629.7</v>
      </c>
      <c r="H54" s="5">
        <v>11.997806471686372</v>
      </c>
      <c r="I54" s="4">
        <f t="shared" si="14"/>
        <v>9.1625607770788502</v>
      </c>
      <c r="J54" s="4">
        <f t="shared" si="15"/>
        <v>6.9711750099656786E-2</v>
      </c>
      <c r="K54" s="5">
        <f t="shared" si="16"/>
        <v>12.40652903244488</v>
      </c>
    </row>
    <row r="55" spans="1:11" x14ac:dyDescent="0.3">
      <c r="B55" s="2" t="s">
        <v>14</v>
      </c>
      <c r="C55" s="2">
        <v>2019</v>
      </c>
      <c r="D55" s="8">
        <v>4254.24</v>
      </c>
      <c r="E55" s="8">
        <v>71981.649999999994</v>
      </c>
      <c r="F55" s="10">
        <v>1124540.48</v>
      </c>
      <c r="G55" s="6">
        <v>114253.41</v>
      </c>
      <c r="H55" s="5">
        <v>6.5996090720114173</v>
      </c>
      <c r="I55" s="4">
        <f t="shared" si="14"/>
        <v>9.8425113088528384</v>
      </c>
      <c r="J55" s="4">
        <f t="shared" si="15"/>
        <v>3.723512497351282E-2</v>
      </c>
      <c r="K55" s="5">
        <f t="shared" si="16"/>
        <v>5.9101729399089908</v>
      </c>
    </row>
    <row r="56" spans="1:11" x14ac:dyDescent="0.3">
      <c r="B56" s="2" t="s">
        <v>14</v>
      </c>
      <c r="C56" s="2">
        <v>2020</v>
      </c>
      <c r="D56" s="8">
        <v>9566.31</v>
      </c>
      <c r="E56" s="8">
        <v>84835.77</v>
      </c>
      <c r="F56" s="10">
        <v>1254332.17</v>
      </c>
      <c r="G56" s="6">
        <v>122960.06</v>
      </c>
      <c r="H56" s="5">
        <v>14.779245457916202</v>
      </c>
      <c r="I56" s="4">
        <f t="shared" si="14"/>
        <v>10.201134986433805</v>
      </c>
      <c r="J56" s="4">
        <f t="shared" si="15"/>
        <v>7.7800140956339803E-2</v>
      </c>
      <c r="K56" s="5">
        <f t="shared" si="16"/>
        <v>11.276269432103932</v>
      </c>
    </row>
    <row r="57" spans="1:11" x14ac:dyDescent="0.3">
      <c r="B57" s="2" t="s">
        <v>14</v>
      </c>
      <c r="C57" s="2">
        <v>2021</v>
      </c>
      <c r="D57" s="8">
        <v>18384.32</v>
      </c>
      <c r="E57" s="8">
        <v>89162.66</v>
      </c>
      <c r="F57" s="10">
        <v>1416224.75</v>
      </c>
      <c r="G57" s="6">
        <v>157587.5</v>
      </c>
      <c r="H57" s="5">
        <v>26.582301908617698</v>
      </c>
      <c r="I57" s="4">
        <f t="shared" si="14"/>
        <v>8.9869104465772978</v>
      </c>
      <c r="J57" s="4">
        <f t="shared" si="15"/>
        <v>0.11666102958673752</v>
      </c>
      <c r="K57" s="5">
        <f t="shared" si="16"/>
        <v>20.618855471561748</v>
      </c>
    </row>
    <row r="58" spans="1:11" x14ac:dyDescent="0.3">
      <c r="B58" s="2" t="s">
        <v>14</v>
      </c>
      <c r="C58" s="2">
        <v>2022</v>
      </c>
      <c r="D58" s="8">
        <v>25110.1</v>
      </c>
      <c r="E58" s="8">
        <v>95406.87</v>
      </c>
      <c r="F58" s="10">
        <v>1570584.89</v>
      </c>
      <c r="G58" s="6">
        <v>182052.49</v>
      </c>
      <c r="H58" s="5">
        <v>36.135879576329721</v>
      </c>
      <c r="I58" s="4">
        <f t="shared" si="14"/>
        <v>8.6270991954023817</v>
      </c>
      <c r="J58" s="4">
        <f t="shared" si="15"/>
        <v>0.1379278031297457</v>
      </c>
      <c r="K58" s="5">
        <f t="shared" si="16"/>
        <v>26.318964242302467</v>
      </c>
    </row>
    <row r="59" spans="1:11" x14ac:dyDescent="0.3">
      <c r="B59" s="2" t="s">
        <v>14</v>
      </c>
      <c r="C59" s="2">
        <v>2023</v>
      </c>
      <c r="D59" s="8">
        <v>34036.639999999999</v>
      </c>
      <c r="E59" s="8">
        <v>121066.81</v>
      </c>
      <c r="F59" s="10">
        <v>1743992.71</v>
      </c>
      <c r="G59" s="6">
        <v>214497.79</v>
      </c>
      <c r="H59" s="5">
        <v>48.743541272841838</v>
      </c>
      <c r="I59" s="4">
        <f t="shared" si="14"/>
        <v>8.1305859141951995</v>
      </c>
      <c r="J59" s="4">
        <f t="shared" si="15"/>
        <v>0.15868060925009997</v>
      </c>
      <c r="K59" s="5">
        <f t="shared" si="16"/>
        <v>28.113931473043685</v>
      </c>
    </row>
    <row r="60" spans="1:11" x14ac:dyDescent="0.3">
      <c r="B60" s="2" t="s">
        <v>14</v>
      </c>
      <c r="C60" s="2">
        <v>2024</v>
      </c>
      <c r="D60" s="8">
        <v>44256.37</v>
      </c>
      <c r="E60" s="8">
        <v>159515.93</v>
      </c>
      <c r="F60" s="10">
        <v>2107919.1799999997</v>
      </c>
      <c r="G60" s="6">
        <v>256143.84</v>
      </c>
      <c r="H60" s="5">
        <v>63.022613673582732</v>
      </c>
      <c r="I60" s="4">
        <f t="shared" si="14"/>
        <v>8.2294353828692497</v>
      </c>
      <c r="J60" s="4">
        <f t="shared" si="15"/>
        <v>0.17277936490684298</v>
      </c>
      <c r="K60" s="5">
        <f t="shared" si="16"/>
        <v>27.74416950081412</v>
      </c>
    </row>
    <row r="61" spans="1:11" x14ac:dyDescent="0.3">
      <c r="B61" s="2" t="s">
        <v>14</v>
      </c>
      <c r="C61" s="2">
        <v>2025</v>
      </c>
      <c r="D61" s="8">
        <v>51029.2</v>
      </c>
      <c r="E61" s="8">
        <v>186331.46</v>
      </c>
      <c r="F61" s="10">
        <v>2328335.5</v>
      </c>
      <c r="G61" s="6">
        <v>313905.90999999997</v>
      </c>
      <c r="H61" s="5">
        <v>71.651104340133941</v>
      </c>
      <c r="I61" s="4">
        <f t="shared" si="14"/>
        <v>7.4173038029134277</v>
      </c>
      <c r="J61" s="4">
        <f t="shared" si="15"/>
        <v>0.16256208747391854</v>
      </c>
      <c r="K61" s="5">
        <f t="shared" si="16"/>
        <v>27.38625028752525</v>
      </c>
    </row>
    <row r="62" spans="1:11" x14ac:dyDescent="0.3">
      <c r="A62">
        <v>7</v>
      </c>
      <c r="B62" s="2" t="s">
        <v>16</v>
      </c>
      <c r="C62" s="2">
        <v>2016</v>
      </c>
      <c r="D62" s="8">
        <v>9344.4500000000007</v>
      </c>
      <c r="E62" s="8">
        <v>39192.1</v>
      </c>
      <c r="F62" s="8">
        <v>27</v>
      </c>
      <c r="G62" s="6">
        <v>42679.520000000004</v>
      </c>
      <c r="H62" s="5">
        <v>7.7413675978394147</v>
      </c>
      <c r="I62" s="4">
        <f>F62/G62</f>
        <v>6.3262192264580284E-4</v>
      </c>
      <c r="J62" s="4">
        <f>D62/G62</f>
        <v>0.21894458981731754</v>
      </c>
      <c r="K62" s="5">
        <f>(D62/E62)*100</f>
        <v>23.842687684507847</v>
      </c>
    </row>
    <row r="63" spans="1:11" x14ac:dyDescent="0.3">
      <c r="B63" s="2" t="s">
        <v>16</v>
      </c>
      <c r="C63" s="2">
        <v>2017</v>
      </c>
      <c r="D63" s="8">
        <v>10289.44</v>
      </c>
      <c r="E63" s="8">
        <v>42767.6</v>
      </c>
      <c r="F63" s="8">
        <v>18</v>
      </c>
      <c r="G63" s="6">
        <v>46412.93</v>
      </c>
      <c r="H63" s="5">
        <v>8.4704875117309051</v>
      </c>
      <c r="I63" s="4">
        <f t="shared" ref="I63:I71" si="17">F63/G63</f>
        <v>3.8782296226504121E-4</v>
      </c>
      <c r="J63" s="4">
        <f t="shared" ref="J63:J71" si="18">D63/G63</f>
        <v>0.2216933944915781</v>
      </c>
      <c r="K63" s="5">
        <f t="shared" ref="K63:K71" si="19">(D63/E63)*100</f>
        <v>24.05896052151629</v>
      </c>
    </row>
    <row r="64" spans="1:11" x14ac:dyDescent="0.3">
      <c r="B64" s="2" t="s">
        <v>16</v>
      </c>
      <c r="C64" s="2">
        <v>2018</v>
      </c>
      <c r="D64" s="8">
        <v>11271.2</v>
      </c>
      <c r="E64" s="8">
        <v>43448.94</v>
      </c>
      <c r="F64" s="8">
        <v>12</v>
      </c>
      <c r="G64" s="6">
        <v>52510.11</v>
      </c>
      <c r="H64" s="5">
        <v>9.2354334128135172</v>
      </c>
      <c r="I64" s="4">
        <f t="shared" si="17"/>
        <v>2.2852742071955285E-4</v>
      </c>
      <c r="J64" s="4">
        <f t="shared" si="18"/>
        <v>0.21464818870118538</v>
      </c>
      <c r="K64" s="5">
        <f t="shared" si="19"/>
        <v>25.941254263049917</v>
      </c>
    </row>
    <row r="65" spans="1:11" x14ac:dyDescent="0.3">
      <c r="B65" s="2" t="s">
        <v>16</v>
      </c>
      <c r="C65" s="2">
        <v>2019</v>
      </c>
      <c r="D65" s="8">
        <v>12592.33</v>
      </c>
      <c r="E65" s="8">
        <v>48339.58</v>
      </c>
      <c r="F65" s="8">
        <v>8</v>
      </c>
      <c r="G65" s="6">
        <v>59140.87</v>
      </c>
      <c r="H65" s="5">
        <v>10.272241528396393</v>
      </c>
      <c r="I65" s="4">
        <f t="shared" si="17"/>
        <v>1.3527024543264244E-4</v>
      </c>
      <c r="J65" s="4">
        <f t="shared" si="18"/>
        <v>0.21292094620860327</v>
      </c>
      <c r="K65" s="5">
        <f t="shared" si="19"/>
        <v>26.049729848707827</v>
      </c>
    </row>
    <row r="66" spans="1:11" x14ac:dyDescent="0.3">
      <c r="B66" s="2" t="s">
        <v>16</v>
      </c>
      <c r="C66" s="2">
        <v>2020</v>
      </c>
      <c r="D66" s="8">
        <v>15306.23</v>
      </c>
      <c r="E66" s="8">
        <v>49387.7</v>
      </c>
      <c r="F66" s="8">
        <v>6</v>
      </c>
      <c r="G66" s="6">
        <v>65273.26</v>
      </c>
      <c r="H66" s="5">
        <v>12.451985812141032</v>
      </c>
      <c r="I66" s="4">
        <f t="shared" si="17"/>
        <v>9.1921255350200067E-5</v>
      </c>
      <c r="J66" s="4">
        <f t="shared" si="18"/>
        <v>0.23449464604648212</v>
      </c>
      <c r="K66" s="5">
        <f t="shared" si="19"/>
        <v>30.991987883622844</v>
      </c>
    </row>
    <row r="67" spans="1:11" x14ac:dyDescent="0.3">
      <c r="B67" s="2" t="s">
        <v>16</v>
      </c>
      <c r="C67" s="2">
        <v>2021</v>
      </c>
      <c r="D67" s="8">
        <v>13161.19</v>
      </c>
      <c r="E67" s="8">
        <v>49257.45</v>
      </c>
      <c r="F67" s="8">
        <v>6</v>
      </c>
      <c r="G67" s="6">
        <v>60347.34</v>
      </c>
      <c r="H67" s="5">
        <v>10.692504549590536</v>
      </c>
      <c r="I67" s="4">
        <f t="shared" si="17"/>
        <v>9.9424431963364087E-5</v>
      </c>
      <c r="J67" s="4">
        <f t="shared" si="18"/>
        <v>0.21809063995198466</v>
      </c>
      <c r="K67" s="5">
        <f t="shared" si="19"/>
        <v>26.719186640802562</v>
      </c>
    </row>
    <row r="68" spans="1:11" x14ac:dyDescent="0.3">
      <c r="B68" s="2" t="s">
        <v>16</v>
      </c>
      <c r="C68" s="2">
        <v>2022</v>
      </c>
      <c r="D68" s="8">
        <v>15242.66</v>
      </c>
      <c r="E68" s="8">
        <v>60644.54</v>
      </c>
      <c r="F68" s="8">
        <v>5</v>
      </c>
      <c r="G68" s="6">
        <v>62455.57</v>
      </c>
      <c r="H68" s="5">
        <v>12.368975842509718</v>
      </c>
      <c r="I68" s="4">
        <f t="shared" si="17"/>
        <v>8.0056910856789876E-5</v>
      </c>
      <c r="J68" s="4">
        <f t="shared" si="18"/>
        <v>0.24405605456807136</v>
      </c>
      <c r="K68" s="5">
        <f t="shared" si="19"/>
        <v>25.134430898478243</v>
      </c>
    </row>
    <row r="69" spans="1:11" x14ac:dyDescent="0.3">
      <c r="B69" s="2" t="s">
        <v>16</v>
      </c>
      <c r="C69" s="2">
        <v>2023</v>
      </c>
      <c r="D69" s="8">
        <v>19191.66</v>
      </c>
      <c r="E69" s="8">
        <v>70919.03</v>
      </c>
      <c r="F69" s="8">
        <v>3</v>
      </c>
      <c r="G69" s="6">
        <v>69155.260000000009</v>
      </c>
      <c r="H69" s="5">
        <v>15.442275506919859</v>
      </c>
      <c r="I69" s="4">
        <f t="shared" si="17"/>
        <v>4.3380648124235231E-5</v>
      </c>
      <c r="J69" s="4">
        <f t="shared" si="18"/>
        <v>0.2775155497933201</v>
      </c>
      <c r="K69" s="5">
        <f t="shared" si="19"/>
        <v>27.061368436652334</v>
      </c>
    </row>
    <row r="70" spans="1:11" x14ac:dyDescent="0.3">
      <c r="B70" s="2" t="s">
        <v>16</v>
      </c>
      <c r="C70" s="2">
        <v>2024</v>
      </c>
      <c r="D70" s="8">
        <v>20458.78</v>
      </c>
      <c r="E70" s="8">
        <v>67931.94</v>
      </c>
      <c r="F70" s="8">
        <v>2</v>
      </c>
      <c r="G70" s="6">
        <v>74507</v>
      </c>
      <c r="H70" s="5">
        <v>16.387081788108645</v>
      </c>
      <c r="I70" s="4">
        <f t="shared" si="17"/>
        <v>2.6843115411974713E-5</v>
      </c>
      <c r="J70" s="4">
        <f t="shared" si="18"/>
        <v>0.27458869636409999</v>
      </c>
      <c r="K70" s="5">
        <f t="shared" si="19"/>
        <v>30.116584334261614</v>
      </c>
    </row>
    <row r="71" spans="1:11" x14ac:dyDescent="0.3">
      <c r="B71" s="2" t="s">
        <v>16</v>
      </c>
      <c r="C71" s="2">
        <v>2025</v>
      </c>
      <c r="D71" s="8">
        <v>34746.629999999997</v>
      </c>
      <c r="E71" s="8">
        <v>75323.34</v>
      </c>
      <c r="F71" s="8">
        <v>0</v>
      </c>
      <c r="G71" s="6">
        <v>70030.05</v>
      </c>
      <c r="H71" s="5">
        <v>27.765983970081745</v>
      </c>
      <c r="I71" s="4">
        <f t="shared" si="17"/>
        <v>0</v>
      </c>
      <c r="J71" s="4">
        <f t="shared" si="18"/>
        <v>0.49616743098141436</v>
      </c>
      <c r="K71" s="5">
        <f t="shared" si="19"/>
        <v>46.129964497060271</v>
      </c>
    </row>
    <row r="72" spans="1:11" x14ac:dyDescent="0.3">
      <c r="A72">
        <v>8</v>
      </c>
      <c r="B72" s="2" t="s">
        <v>15</v>
      </c>
      <c r="C72" s="2">
        <v>2016</v>
      </c>
      <c r="D72" s="8">
        <v>4151</v>
      </c>
      <c r="E72" s="8">
        <v>32186</v>
      </c>
      <c r="F72" s="10">
        <v>8220</v>
      </c>
      <c r="G72" s="6">
        <v>6573</v>
      </c>
      <c r="H72" s="5">
        <v>19.182956698553539</v>
      </c>
      <c r="I72" s="4">
        <f>F72/G72</f>
        <v>1.2505705157462346</v>
      </c>
      <c r="J72" s="4">
        <f>D72/G72</f>
        <v>0.6315228966986155</v>
      </c>
      <c r="K72" s="5">
        <f>(D72/E72)*100</f>
        <v>12.896911700739452</v>
      </c>
    </row>
    <row r="73" spans="1:11" x14ac:dyDescent="0.3">
      <c r="B73" s="2" t="s">
        <v>15</v>
      </c>
      <c r="C73" s="2">
        <v>2017</v>
      </c>
      <c r="D73" s="8">
        <v>4476</v>
      </c>
      <c r="E73" s="8">
        <v>33162</v>
      </c>
      <c r="F73" s="10">
        <v>8962</v>
      </c>
      <c r="G73" s="6">
        <v>6744</v>
      </c>
      <c r="H73" s="5">
        <v>20.681051610220393</v>
      </c>
      <c r="I73" s="4">
        <f t="shared" ref="I73:I81" si="20">F73/G73</f>
        <v>1.3288849347568208</v>
      </c>
      <c r="J73" s="4">
        <f t="shared" ref="J73:J81" si="21">D73/G73</f>
        <v>0.66370106761565839</v>
      </c>
      <c r="K73" s="5">
        <f t="shared" ref="K73:K81" si="22">(D73/E73)*100</f>
        <v>13.497376515288584</v>
      </c>
    </row>
    <row r="74" spans="1:11" x14ac:dyDescent="0.3">
      <c r="B74" s="2" t="s">
        <v>15</v>
      </c>
      <c r="C74" s="2">
        <v>2018</v>
      </c>
      <c r="D74" s="8">
        <v>5214</v>
      </c>
      <c r="E74" s="8">
        <v>35545</v>
      </c>
      <c r="F74" s="10">
        <v>10581</v>
      </c>
      <c r="G74" s="6">
        <v>7281</v>
      </c>
      <c r="H74" s="5">
        <v>24.088704088704091</v>
      </c>
      <c r="I74" s="4">
        <f t="shared" si="20"/>
        <v>1.4532344458178821</v>
      </c>
      <c r="J74" s="4">
        <f t="shared" si="21"/>
        <v>0.71611042439225381</v>
      </c>
      <c r="K74" s="5">
        <f t="shared" si="22"/>
        <v>14.668729779153185</v>
      </c>
    </row>
    <row r="75" spans="1:11" x14ac:dyDescent="0.3">
      <c r="B75" s="2" t="s">
        <v>15</v>
      </c>
      <c r="C75" s="2">
        <v>2019</v>
      </c>
      <c r="D75" s="8">
        <v>6054</v>
      </c>
      <c r="E75" s="8">
        <v>39310</v>
      </c>
      <c r="F75" s="10">
        <v>10762</v>
      </c>
      <c r="G75" s="6">
        <v>7867</v>
      </c>
      <c r="H75" s="5">
        <v>27.966923823162563</v>
      </c>
      <c r="I75" s="4">
        <f t="shared" si="20"/>
        <v>1.3679928816575568</v>
      </c>
      <c r="J75" s="4">
        <f t="shared" si="21"/>
        <v>0.76954366340409308</v>
      </c>
      <c r="K75" s="5">
        <f t="shared" si="22"/>
        <v>15.40066140931061</v>
      </c>
    </row>
    <row r="76" spans="1:11" x14ac:dyDescent="0.3">
      <c r="B76" s="2" t="s">
        <v>15</v>
      </c>
      <c r="C76" s="2">
        <v>2020</v>
      </c>
      <c r="D76" s="8">
        <v>6748</v>
      </c>
      <c r="E76" s="8">
        <v>39783</v>
      </c>
      <c r="F76" s="10">
        <v>11924</v>
      </c>
      <c r="G76" s="6">
        <v>8229</v>
      </c>
      <c r="H76" s="5">
        <v>31.171470805617147</v>
      </c>
      <c r="I76" s="4">
        <f t="shared" si="20"/>
        <v>1.4490217523392879</v>
      </c>
      <c r="J76" s="4">
        <f t="shared" si="21"/>
        <v>0.82002673471867782</v>
      </c>
      <c r="K76" s="5">
        <f t="shared" si="22"/>
        <v>16.962018952819044</v>
      </c>
    </row>
    <row r="77" spans="1:11" x14ac:dyDescent="0.3">
      <c r="B77" s="2" t="s">
        <v>15</v>
      </c>
      <c r="C77" s="2">
        <v>2021</v>
      </c>
      <c r="D77" s="8">
        <v>7995</v>
      </c>
      <c r="E77" s="8">
        <v>47028</v>
      </c>
      <c r="F77" s="10">
        <v>21066</v>
      </c>
      <c r="G77" s="6">
        <v>47674</v>
      </c>
      <c r="H77" s="5">
        <v>34.027068437180795</v>
      </c>
      <c r="I77" s="4">
        <f t="shared" si="20"/>
        <v>0.4418760750094391</v>
      </c>
      <c r="J77" s="4">
        <f t="shared" si="21"/>
        <v>0.16770147250073414</v>
      </c>
      <c r="K77" s="5">
        <f t="shared" si="22"/>
        <v>17.000510334268945</v>
      </c>
    </row>
    <row r="78" spans="1:11" x14ac:dyDescent="0.3">
      <c r="B78" s="2" t="s">
        <v>15</v>
      </c>
      <c r="C78" s="2">
        <v>2022</v>
      </c>
      <c r="D78" s="8">
        <v>8879</v>
      </c>
      <c r="E78" s="8">
        <v>52446</v>
      </c>
      <c r="F78" s="10">
        <v>21445</v>
      </c>
      <c r="G78" s="6">
        <v>49061</v>
      </c>
      <c r="H78" s="5">
        <v>37.789410963568265</v>
      </c>
      <c r="I78" s="4">
        <f t="shared" si="20"/>
        <v>0.43710890524041501</v>
      </c>
      <c r="J78" s="4">
        <f t="shared" si="21"/>
        <v>0.18097878151688715</v>
      </c>
      <c r="K78" s="5">
        <f t="shared" si="22"/>
        <v>16.929794455249208</v>
      </c>
    </row>
    <row r="79" spans="1:11" x14ac:dyDescent="0.3">
      <c r="B79" s="2" t="s">
        <v>15</v>
      </c>
      <c r="C79" s="2">
        <v>2023</v>
      </c>
      <c r="D79" s="8">
        <v>10120</v>
      </c>
      <c r="E79" s="8">
        <v>60580</v>
      </c>
      <c r="F79" s="10">
        <v>22773</v>
      </c>
      <c r="G79" s="6">
        <v>50304</v>
      </c>
      <c r="H79" s="5">
        <v>43.071161048689135</v>
      </c>
      <c r="I79" s="4">
        <f t="shared" si="20"/>
        <v>0.45270753816793891</v>
      </c>
      <c r="J79" s="4">
        <f t="shared" si="21"/>
        <v>0.201176844783715</v>
      </c>
      <c r="K79" s="5">
        <f t="shared" si="22"/>
        <v>16.705183228788378</v>
      </c>
    </row>
    <row r="80" spans="1:11" x14ac:dyDescent="0.3">
      <c r="B80" s="2" t="s">
        <v>15</v>
      </c>
      <c r="C80" s="2">
        <v>2024</v>
      </c>
      <c r="D80" s="8">
        <v>10277</v>
      </c>
      <c r="E80" s="8">
        <v>61896</v>
      </c>
      <c r="F80" s="10">
        <v>27271</v>
      </c>
      <c r="G80" s="6">
        <v>51218</v>
      </c>
      <c r="H80" s="5">
        <v>43.739359891045282</v>
      </c>
      <c r="I80" s="4">
        <f t="shared" si="20"/>
        <v>0.5324495294622984</v>
      </c>
      <c r="J80" s="4">
        <f t="shared" si="21"/>
        <v>0.20065211449099926</v>
      </c>
      <c r="K80" s="5">
        <f t="shared" si="22"/>
        <v>16.603657748481325</v>
      </c>
    </row>
    <row r="81" spans="1:11" x14ac:dyDescent="0.3">
      <c r="B81" s="2" t="s">
        <v>15</v>
      </c>
      <c r="C81" s="2">
        <v>2025</v>
      </c>
      <c r="D81" s="8">
        <v>10649</v>
      </c>
      <c r="E81" s="8">
        <v>63121</v>
      </c>
      <c r="F81" s="10">
        <v>30461</v>
      </c>
      <c r="G81" s="6">
        <v>49402</v>
      </c>
      <c r="H81" s="5">
        <v>45.32260810350698</v>
      </c>
      <c r="I81" s="4">
        <f t="shared" si="20"/>
        <v>0.61659446985951982</v>
      </c>
      <c r="J81" s="4">
        <f t="shared" si="21"/>
        <v>0.21555807457187967</v>
      </c>
      <c r="K81" s="5">
        <f t="shared" si="22"/>
        <v>16.870772009315441</v>
      </c>
    </row>
    <row r="82" spans="1:11" x14ac:dyDescent="0.3">
      <c r="A82">
        <v>9</v>
      </c>
      <c r="B82" s="2" t="s">
        <v>17</v>
      </c>
      <c r="C82" s="2">
        <v>2016</v>
      </c>
      <c r="D82" s="8">
        <v>1001.36</v>
      </c>
      <c r="E82" s="8">
        <v>9141.34</v>
      </c>
      <c r="F82" s="10">
        <v>3528.13</v>
      </c>
      <c r="G82" s="6">
        <v>3282.33</v>
      </c>
      <c r="H82" s="5">
        <v>5.1937759336099587</v>
      </c>
      <c r="I82" s="4">
        <f>F82/G82</f>
        <v>1.0748858280550706</v>
      </c>
      <c r="J82" s="4">
        <f>D82/G82</f>
        <v>0.30507596737683296</v>
      </c>
      <c r="K82" s="5">
        <f>(D82/E82)*100</f>
        <v>10.954192711353041</v>
      </c>
    </row>
    <row r="83" spans="1:11" x14ac:dyDescent="0.3">
      <c r="B83" s="2" t="s">
        <v>17</v>
      </c>
      <c r="C83" s="2">
        <v>2017</v>
      </c>
      <c r="D83" s="8">
        <v>1225.19</v>
      </c>
      <c r="E83" s="8">
        <v>10009.6</v>
      </c>
      <c r="F83" s="10">
        <v>3942</v>
      </c>
      <c r="G83" s="6">
        <v>3420.59</v>
      </c>
      <c r="H83" s="5">
        <v>6.3547199170124484</v>
      </c>
      <c r="I83" s="4">
        <f t="shared" ref="I83:I101" si="23">F83/G83</f>
        <v>1.1524327674465515</v>
      </c>
      <c r="J83" s="4">
        <f t="shared" ref="J83:J101" si="24">D83/G83</f>
        <v>0.35818089861690527</v>
      </c>
      <c r="K83" s="5">
        <f t="shared" ref="K83:K101" si="25">(D83/E83)*100</f>
        <v>12.240149456521738</v>
      </c>
    </row>
    <row r="84" spans="1:11" x14ac:dyDescent="0.3">
      <c r="B84" s="2" t="s">
        <v>17</v>
      </c>
      <c r="C84" s="2">
        <v>2018</v>
      </c>
      <c r="D84" s="8">
        <v>1606.93</v>
      </c>
      <c r="E84" s="8">
        <v>11292.27</v>
      </c>
      <c r="F84" s="10">
        <v>4414.34</v>
      </c>
      <c r="G84" s="6">
        <v>3673.7400000000002</v>
      </c>
      <c r="H84" s="5">
        <v>8.3346991701244804</v>
      </c>
      <c r="I84" s="4">
        <f t="shared" si="23"/>
        <v>1.2015929270988148</v>
      </c>
      <c r="J84" s="4">
        <f t="shared" si="24"/>
        <v>0.43740983303118891</v>
      </c>
      <c r="K84" s="5">
        <f t="shared" si="25"/>
        <v>14.230354038647677</v>
      </c>
    </row>
    <row r="85" spans="1:11" x14ac:dyDescent="0.3">
      <c r="B85" s="2" t="s">
        <v>17</v>
      </c>
      <c r="C85" s="2">
        <v>2019</v>
      </c>
      <c r="D85" s="8">
        <v>1968.44</v>
      </c>
      <c r="E85" s="8">
        <v>12368.9</v>
      </c>
      <c r="F85" s="10">
        <v>5254.07</v>
      </c>
      <c r="G85" s="6">
        <v>1918.8700000000001</v>
      </c>
      <c r="H85" s="5">
        <v>10.209751037344398</v>
      </c>
      <c r="I85" s="4">
        <f t="shared" si="23"/>
        <v>2.7381062813009738</v>
      </c>
      <c r="J85" s="4">
        <f t="shared" si="24"/>
        <v>1.0258329120784628</v>
      </c>
      <c r="K85" s="5">
        <f t="shared" si="25"/>
        <v>15.914430547583052</v>
      </c>
    </row>
    <row r="86" spans="1:11" x14ac:dyDescent="0.3">
      <c r="B86" s="2" t="s">
        <v>17</v>
      </c>
      <c r="C86" s="2">
        <v>2020</v>
      </c>
      <c r="D86" s="8">
        <v>2082.4299999999998</v>
      </c>
      <c r="E86" s="8">
        <v>13350.03</v>
      </c>
      <c r="F86" s="10">
        <v>5880.3899999999994</v>
      </c>
      <c r="G86" s="6">
        <v>2019.3400000000001</v>
      </c>
      <c r="H86" s="5">
        <v>10.800985477178422</v>
      </c>
      <c r="I86" s="4">
        <f t="shared" si="23"/>
        <v>2.9120356155971749</v>
      </c>
      <c r="J86" s="4">
        <f t="shared" si="24"/>
        <v>1.0312428813374666</v>
      </c>
      <c r="K86" s="5">
        <f t="shared" si="25"/>
        <v>15.598691538520884</v>
      </c>
    </row>
    <row r="87" spans="1:11" x14ac:dyDescent="0.3">
      <c r="B87" s="2" t="s">
        <v>17</v>
      </c>
      <c r="C87" s="2">
        <v>2021</v>
      </c>
      <c r="D87" s="8">
        <v>2118.41</v>
      </c>
      <c r="E87" s="8">
        <v>14740.59</v>
      </c>
      <c r="F87" s="10">
        <v>6287.75</v>
      </c>
      <c r="G87" s="6">
        <v>1946.38</v>
      </c>
      <c r="H87" s="5">
        <v>10.987603734439833</v>
      </c>
      <c r="I87" s="4">
        <f t="shared" si="23"/>
        <v>3.2304842836445089</v>
      </c>
      <c r="J87" s="4">
        <f t="shared" si="24"/>
        <v>1.0883845908815337</v>
      </c>
      <c r="K87" s="5">
        <f t="shared" si="25"/>
        <v>14.371270078063361</v>
      </c>
    </row>
    <row r="88" spans="1:11" x14ac:dyDescent="0.3">
      <c r="B88" s="2" t="s">
        <v>17</v>
      </c>
      <c r="C88" s="2">
        <v>2022</v>
      </c>
      <c r="D88" s="8">
        <v>2390.52</v>
      </c>
      <c r="E88" s="8">
        <v>16896.96</v>
      </c>
      <c r="F88" s="10">
        <v>6519.57</v>
      </c>
      <c r="G88" s="6">
        <v>2459.17</v>
      </c>
      <c r="H88" s="5">
        <v>12.398962655601659</v>
      </c>
      <c r="I88" s="4">
        <f t="shared" si="23"/>
        <v>2.6511261929838112</v>
      </c>
      <c r="J88" s="4">
        <f t="shared" si="24"/>
        <v>0.97208407714798084</v>
      </c>
      <c r="K88" s="5">
        <f t="shared" si="25"/>
        <v>14.14763365717857</v>
      </c>
    </row>
    <row r="89" spans="1:11" x14ac:dyDescent="0.3">
      <c r="B89" s="2" t="s">
        <v>17</v>
      </c>
      <c r="C89" s="2">
        <v>2023</v>
      </c>
      <c r="D89" s="8">
        <v>2998.67</v>
      </c>
      <c r="E89" s="8">
        <v>19126.3</v>
      </c>
      <c r="F89" s="10">
        <v>6519.57</v>
      </c>
      <c r="G89" s="6">
        <v>2459.17</v>
      </c>
      <c r="H89" s="5">
        <v>15.553267634854771</v>
      </c>
      <c r="I89" s="4">
        <f t="shared" si="23"/>
        <v>2.6511261929838112</v>
      </c>
      <c r="J89" s="4">
        <f t="shared" si="24"/>
        <v>1.2193829625442731</v>
      </c>
      <c r="K89" s="5">
        <f t="shared" si="25"/>
        <v>15.678254550017517</v>
      </c>
    </row>
    <row r="90" spans="1:11" x14ac:dyDescent="0.3">
      <c r="B90" s="2" t="s">
        <v>17</v>
      </c>
      <c r="C90" s="2">
        <v>2024</v>
      </c>
      <c r="D90" s="8">
        <v>3932.84</v>
      </c>
      <c r="E90" s="8">
        <v>24393.89</v>
      </c>
      <c r="F90" s="10">
        <v>7182.17</v>
      </c>
      <c r="G90" s="6">
        <v>3340.89</v>
      </c>
      <c r="H90" s="5">
        <v>20.395374163771198</v>
      </c>
      <c r="I90" s="4">
        <f t="shared" si="23"/>
        <v>2.1497774545106245</v>
      </c>
      <c r="J90" s="4">
        <f t="shared" si="24"/>
        <v>1.1771833254013153</v>
      </c>
      <c r="K90" s="5">
        <f t="shared" si="25"/>
        <v>16.122233887256197</v>
      </c>
    </row>
    <row r="91" spans="1:11" x14ac:dyDescent="0.3">
      <c r="B91" s="2" t="s">
        <v>17</v>
      </c>
      <c r="C91" s="2">
        <v>2025</v>
      </c>
      <c r="D91" s="8">
        <v>3314.5</v>
      </c>
      <c r="E91" s="8">
        <v>20201.560000000001</v>
      </c>
      <c r="F91" s="10">
        <v>8206.74</v>
      </c>
      <c r="G91" s="6">
        <v>4117.1499999999996</v>
      </c>
      <c r="H91" s="5">
        <v>17.188715448840949</v>
      </c>
      <c r="I91" s="4">
        <f t="shared" si="23"/>
        <v>1.9933060490873542</v>
      </c>
      <c r="J91" s="4">
        <f t="shared" si="24"/>
        <v>0.80504718069538406</v>
      </c>
      <c r="K91" s="5">
        <f t="shared" si="25"/>
        <v>16.407148754848635</v>
      </c>
    </row>
    <row r="92" spans="1:11" x14ac:dyDescent="0.3">
      <c r="A92">
        <v>10</v>
      </c>
      <c r="B92" s="2" t="s">
        <v>18</v>
      </c>
      <c r="C92" s="2">
        <v>2016</v>
      </c>
      <c r="D92" s="8">
        <v>29745</v>
      </c>
      <c r="E92" s="8">
        <v>272583</v>
      </c>
      <c r="F92" s="10">
        <v>367441</v>
      </c>
      <c r="G92" s="6">
        <v>231556</v>
      </c>
      <c r="H92" s="5">
        <v>21.514125764874365</v>
      </c>
      <c r="I92" s="4">
        <f t="shared" si="23"/>
        <v>1.5868342863065521</v>
      </c>
      <c r="J92" s="4">
        <f t="shared" si="24"/>
        <v>0.12845704710739519</v>
      </c>
      <c r="K92" s="5">
        <f t="shared" si="25"/>
        <v>10.912272592201274</v>
      </c>
    </row>
    <row r="93" spans="1:11" x14ac:dyDescent="0.3">
      <c r="B93" s="2" t="s">
        <v>18</v>
      </c>
      <c r="C93" s="2">
        <v>2017</v>
      </c>
      <c r="D93" s="8">
        <v>29901</v>
      </c>
      <c r="E93" s="8">
        <v>303954</v>
      </c>
      <c r="F93" s="10">
        <v>443093</v>
      </c>
      <c r="G93" s="6">
        <v>263709</v>
      </c>
      <c r="H93" s="5">
        <v>21.554620031429767</v>
      </c>
      <c r="I93" s="4">
        <f t="shared" si="23"/>
        <v>1.6802346525905449</v>
      </c>
      <c r="J93" s="4">
        <f t="shared" si="24"/>
        <v>0.11338634631355016</v>
      </c>
      <c r="K93" s="5">
        <f t="shared" si="25"/>
        <v>9.8373438086026184</v>
      </c>
    </row>
    <row r="94" spans="1:11" x14ac:dyDescent="0.3">
      <c r="B94" s="2" t="s">
        <v>18</v>
      </c>
      <c r="C94" s="2">
        <v>2018</v>
      </c>
      <c r="D94" s="8">
        <v>36075</v>
      </c>
      <c r="E94" s="8">
        <v>390823</v>
      </c>
      <c r="F94" s="10">
        <v>517767</v>
      </c>
      <c r="G94" s="6">
        <v>293506</v>
      </c>
      <c r="H94" s="5">
        <v>26.694736530535224</v>
      </c>
      <c r="I94" s="4">
        <f t="shared" si="23"/>
        <v>1.7640763732257603</v>
      </c>
      <c r="J94" s="4">
        <f t="shared" si="24"/>
        <v>0.12291060489393743</v>
      </c>
      <c r="K94" s="5">
        <f t="shared" si="25"/>
        <v>9.2305212333972158</v>
      </c>
    </row>
    <row r="95" spans="1:11" x14ac:dyDescent="0.3">
      <c r="B95" s="2" t="s">
        <v>18</v>
      </c>
      <c r="C95" s="2">
        <v>2019</v>
      </c>
      <c r="D95" s="8">
        <v>39588</v>
      </c>
      <c r="E95" s="8">
        <v>568337</v>
      </c>
      <c r="F95" s="10">
        <v>610518</v>
      </c>
      <c r="G95" s="6">
        <v>387112</v>
      </c>
      <c r="H95" s="5">
        <v>29.275435197373287</v>
      </c>
      <c r="I95" s="4">
        <f t="shared" si="23"/>
        <v>1.5771094670276302</v>
      </c>
      <c r="J95" s="4">
        <f t="shared" si="24"/>
        <v>0.10226497757754861</v>
      </c>
      <c r="K95" s="5">
        <f t="shared" si="25"/>
        <v>6.9655855592720517</v>
      </c>
    </row>
    <row r="96" spans="1:11" x14ac:dyDescent="0.3">
      <c r="B96" s="2" t="s">
        <v>18</v>
      </c>
      <c r="C96" s="2">
        <v>2020</v>
      </c>
      <c r="D96" s="8">
        <v>39354</v>
      </c>
      <c r="E96" s="8">
        <v>596679</v>
      </c>
      <c r="F96" s="10">
        <v>713849</v>
      </c>
      <c r="G96" s="6">
        <v>449166</v>
      </c>
      <c r="H96" s="5">
        <v>29.100024401606071</v>
      </c>
      <c r="I96" s="4">
        <f t="shared" si="23"/>
        <v>1.5892765703548355</v>
      </c>
      <c r="J96" s="4">
        <f t="shared" si="24"/>
        <v>8.7615714457461163E-2</v>
      </c>
      <c r="K96" s="5">
        <f t="shared" si="25"/>
        <v>6.5955061264096777</v>
      </c>
    </row>
    <row r="97" spans="1:11" x14ac:dyDescent="0.3">
      <c r="B97" s="2" t="s">
        <v>18</v>
      </c>
      <c r="C97" s="2">
        <v>2021</v>
      </c>
      <c r="D97" s="8">
        <v>49128</v>
      </c>
      <c r="E97" s="8">
        <v>466307</v>
      </c>
      <c r="F97" s="10">
        <v>619893</v>
      </c>
      <c r="G97" s="6">
        <v>700172</v>
      </c>
      <c r="H97" s="5">
        <v>38.747840901024531</v>
      </c>
      <c r="I97" s="4">
        <f t="shared" si="23"/>
        <v>0.88534388693063992</v>
      </c>
      <c r="J97" s="4">
        <f t="shared" si="24"/>
        <v>7.0165616448529797E-2</v>
      </c>
      <c r="K97" s="5">
        <f t="shared" si="25"/>
        <v>10.535548469141574</v>
      </c>
    </row>
    <row r="98" spans="1:11" x14ac:dyDescent="0.3">
      <c r="B98" s="2" t="s">
        <v>18</v>
      </c>
      <c r="C98" s="2">
        <v>2022</v>
      </c>
      <c r="D98" s="8">
        <v>60705</v>
      </c>
      <c r="E98" s="8">
        <v>694673</v>
      </c>
      <c r="F98" s="10">
        <v>719137</v>
      </c>
      <c r="G98" s="6">
        <v>779485</v>
      </c>
      <c r="H98" s="5">
        <v>44.867625537701961</v>
      </c>
      <c r="I98" s="4">
        <f t="shared" si="23"/>
        <v>0.92257965194968472</v>
      </c>
      <c r="J98" s="4">
        <f t="shared" si="24"/>
        <v>7.787834275194519E-2</v>
      </c>
      <c r="K98" s="5">
        <f t="shared" si="25"/>
        <v>8.7386439375072875</v>
      </c>
    </row>
    <row r="99" spans="1:11" x14ac:dyDescent="0.3">
      <c r="B99" s="2" t="s">
        <v>18</v>
      </c>
      <c r="C99" s="2">
        <v>2023</v>
      </c>
      <c r="D99" s="8">
        <v>66702</v>
      </c>
      <c r="E99" s="8">
        <v>876396</v>
      </c>
      <c r="F99" s="10">
        <v>890010</v>
      </c>
      <c r="G99" s="6">
        <v>715872</v>
      </c>
      <c r="H99" s="5">
        <v>49.294962752749207</v>
      </c>
      <c r="I99" s="4">
        <f t="shared" si="23"/>
        <v>1.2432529837736355</v>
      </c>
      <c r="J99" s="4">
        <f t="shared" si="24"/>
        <v>9.3175875016762777E-2</v>
      </c>
      <c r="K99" s="5">
        <f t="shared" si="25"/>
        <v>7.6109429983706001</v>
      </c>
    </row>
    <row r="100" spans="1:11" x14ac:dyDescent="0.3">
      <c r="B100" s="2" t="s">
        <v>18</v>
      </c>
      <c r="C100" s="2">
        <v>2024</v>
      </c>
      <c r="D100" s="8">
        <v>69621</v>
      </c>
      <c r="E100" s="8">
        <v>899041</v>
      </c>
      <c r="F100" s="10">
        <v>961567</v>
      </c>
      <c r="G100" s="6">
        <v>793481</v>
      </c>
      <c r="H100" s="5">
        <v>51.45143887550438</v>
      </c>
      <c r="I100" s="4">
        <f t="shared" si="23"/>
        <v>1.2118336796974345</v>
      </c>
      <c r="J100" s="4">
        <f t="shared" si="24"/>
        <v>8.7741231359036956E-2</v>
      </c>
      <c r="K100" s="5">
        <f t="shared" si="25"/>
        <v>7.7439182417709542</v>
      </c>
    </row>
    <row r="101" spans="1:11" x14ac:dyDescent="0.3">
      <c r="B101" s="2" t="s">
        <v>18</v>
      </c>
      <c r="C101" s="2">
        <v>2025</v>
      </c>
      <c r="D101" s="2">
        <v>69648</v>
      </c>
      <c r="E101" s="2">
        <v>962820</v>
      </c>
      <c r="F101">
        <v>1106513</v>
      </c>
      <c r="G101" s="6">
        <v>843200</v>
      </c>
      <c r="H101" s="5">
        <v>51.467588897756492</v>
      </c>
      <c r="I101" s="4">
        <f t="shared" si="23"/>
        <v>1.3122782258064516</v>
      </c>
      <c r="J101" s="4">
        <f t="shared" si="24"/>
        <v>8.259962049335863E-2</v>
      </c>
      <c r="K101" s="5">
        <f t="shared" si="25"/>
        <v>7.2337508568579807</v>
      </c>
    </row>
    <row r="102" spans="1:11" x14ac:dyDescent="0.3">
      <c r="A102">
        <v>11</v>
      </c>
      <c r="B102" s="2" t="s">
        <v>19</v>
      </c>
      <c r="C102" s="2">
        <v>2016</v>
      </c>
      <c r="D102" s="8">
        <v>12875.21</v>
      </c>
      <c r="E102" s="8">
        <v>124035.71</v>
      </c>
      <c r="F102" s="10">
        <v>143958.74</v>
      </c>
      <c r="G102" s="6">
        <v>197813.64</v>
      </c>
      <c r="H102" s="5">
        <v>10.032735405043169</v>
      </c>
      <c r="I102" s="4">
        <f>F102/G102</f>
        <v>0.72774930990603059</v>
      </c>
      <c r="J102" s="4">
        <f>D102/G102</f>
        <v>6.5087574345227148E-2</v>
      </c>
      <c r="K102" s="5">
        <f>(D102/E102)*100</f>
        <v>10.380244527966985</v>
      </c>
    </row>
    <row r="103" spans="1:11" x14ac:dyDescent="0.3">
      <c r="B103" s="2" t="s">
        <v>19</v>
      </c>
      <c r="C103" s="2">
        <v>2017</v>
      </c>
      <c r="D103" s="8">
        <v>24419.25</v>
      </c>
      <c r="E103" s="8">
        <v>282506.11</v>
      </c>
      <c r="F103" s="10">
        <v>250140.09999999998</v>
      </c>
      <c r="G103" s="6">
        <v>194385.22</v>
      </c>
      <c r="H103" s="5">
        <v>19.028184708412557</v>
      </c>
      <c r="I103" s="4">
        <f t="shared" ref="I103:I111" si="26">F103/G103</f>
        <v>1.2868267453667515</v>
      </c>
      <c r="J103" s="4">
        <f t="shared" ref="J103:J111" si="27">D103/G103</f>
        <v>0.12562297689093851</v>
      </c>
      <c r="K103" s="5">
        <f t="shared" ref="K103:K111" si="28">(D103/E103)*100</f>
        <v>8.6437953501253482</v>
      </c>
    </row>
    <row r="104" spans="1:11" x14ac:dyDescent="0.3">
      <c r="B104" s="2" t="s">
        <v>19</v>
      </c>
      <c r="C104" s="2">
        <v>2018</v>
      </c>
      <c r="D104" s="8">
        <v>22105.93</v>
      </c>
      <c r="E104" s="8">
        <v>322705.76</v>
      </c>
      <c r="F104" s="10">
        <v>255213.47</v>
      </c>
      <c r="G104" s="6">
        <v>204018.93</v>
      </c>
      <c r="H104" s="5">
        <v>17.225578967054204</v>
      </c>
      <c r="I104" s="4">
        <f t="shared" si="26"/>
        <v>1.2509303425912488</v>
      </c>
      <c r="J104" s="4">
        <f t="shared" si="27"/>
        <v>0.10835234750030304</v>
      </c>
      <c r="K104" s="5">
        <f t="shared" si="28"/>
        <v>6.8501814160367021</v>
      </c>
    </row>
    <row r="105" spans="1:11" x14ac:dyDescent="0.3">
      <c r="B105" s="2" t="s">
        <v>19</v>
      </c>
      <c r="C105" s="2">
        <v>2019</v>
      </c>
      <c r="D105" s="8">
        <v>30546.04</v>
      </c>
      <c r="E105" s="8">
        <v>421623.93</v>
      </c>
      <c r="F105" s="10">
        <v>275408.64000000001</v>
      </c>
      <c r="G105" s="6">
        <v>216934.65</v>
      </c>
      <c r="H105" s="5">
        <v>24.280851807985503</v>
      </c>
      <c r="I105" s="4">
        <f t="shared" si="26"/>
        <v>1.2695465662124517</v>
      </c>
      <c r="J105" s="4">
        <f t="shared" si="27"/>
        <v>0.14080756578075471</v>
      </c>
      <c r="K105" s="5">
        <f t="shared" si="28"/>
        <v>7.2448544369860608</v>
      </c>
    </row>
    <row r="106" spans="1:11" x14ac:dyDescent="0.3">
      <c r="B106" s="2" t="s">
        <v>19</v>
      </c>
      <c r="C106" s="2">
        <v>2020</v>
      </c>
      <c r="D106" s="8">
        <v>10803.6</v>
      </c>
      <c r="E106" s="8">
        <v>396727.91</v>
      </c>
      <c r="F106" s="10">
        <v>303259.44</v>
      </c>
      <c r="G106" s="6">
        <v>205104.6</v>
      </c>
      <c r="H106" s="5">
        <v>8.5877125346772338</v>
      </c>
      <c r="I106" s="4">
        <f t="shared" si="26"/>
        <v>1.4785599152822511</v>
      </c>
      <c r="J106" s="4">
        <f t="shared" si="27"/>
        <v>5.2673611415833675E-2</v>
      </c>
      <c r="K106" s="5">
        <f t="shared" si="28"/>
        <v>2.7231761939814119</v>
      </c>
    </row>
    <row r="107" spans="1:11" x14ac:dyDescent="0.3">
      <c r="B107" s="2" t="s">
        <v>19</v>
      </c>
      <c r="C107" s="2">
        <v>2021</v>
      </c>
      <c r="D107" s="8">
        <v>16304.4</v>
      </c>
      <c r="E107" s="8">
        <v>303848.90999999997</v>
      </c>
      <c r="F107" s="10">
        <v>320766.66000000003</v>
      </c>
      <c r="G107" s="6">
        <v>220980.99000000002</v>
      </c>
      <c r="H107" s="5">
        <v>12.960263268761476</v>
      </c>
      <c r="I107" s="4">
        <f t="shared" si="26"/>
        <v>1.4515577109144095</v>
      </c>
      <c r="J107" s="4">
        <f t="shared" si="27"/>
        <v>7.3781912190727342E-2</v>
      </c>
      <c r="K107" s="5">
        <f t="shared" si="28"/>
        <v>5.3659563893120437</v>
      </c>
    </row>
    <row r="108" spans="1:11" x14ac:dyDescent="0.3">
      <c r="B108" s="2" t="s">
        <v>19</v>
      </c>
      <c r="C108" s="2">
        <v>2022</v>
      </c>
      <c r="D108" s="8">
        <v>45522.11</v>
      </c>
      <c r="E108" s="8">
        <v>491246.24</v>
      </c>
      <c r="F108" s="10">
        <v>323756.61</v>
      </c>
      <c r="G108" s="6">
        <v>259502.91</v>
      </c>
      <c r="H108" s="5">
        <v>36.18523405642155</v>
      </c>
      <c r="I108" s="4">
        <f t="shared" si="26"/>
        <v>1.2476030037582237</v>
      </c>
      <c r="J108" s="4">
        <f t="shared" si="27"/>
        <v>0.17542042206771399</v>
      </c>
      <c r="K108" s="5">
        <f t="shared" si="28"/>
        <v>9.2666582038368368</v>
      </c>
    </row>
    <row r="109" spans="1:11" x14ac:dyDescent="0.3">
      <c r="B109" s="2" t="s">
        <v>19</v>
      </c>
      <c r="C109" s="2">
        <v>2023</v>
      </c>
      <c r="D109" s="8">
        <v>35440.480000000003</v>
      </c>
      <c r="E109" s="8">
        <v>632291.18000000005</v>
      </c>
      <c r="F109" s="10">
        <v>332467.21999999997</v>
      </c>
      <c r="G109" s="6">
        <v>280647.3</v>
      </c>
      <c r="H109" s="5">
        <v>28.171410856656841</v>
      </c>
      <c r="I109" s="4">
        <f t="shared" si="26"/>
        <v>1.1846442848372316</v>
      </c>
      <c r="J109" s="4">
        <f t="shared" si="27"/>
        <v>0.12628120776504889</v>
      </c>
      <c r="K109" s="5">
        <f t="shared" si="28"/>
        <v>5.6050884657287172</v>
      </c>
    </row>
    <row r="110" spans="1:11" x14ac:dyDescent="0.3">
      <c r="B110" s="2" t="s">
        <v>19</v>
      </c>
      <c r="C110" s="2">
        <v>2024</v>
      </c>
      <c r="D110" s="8">
        <v>49143.93</v>
      </c>
      <c r="E110" s="8">
        <v>601580.88</v>
      </c>
      <c r="F110" s="10">
        <v>397551.91000000003</v>
      </c>
      <c r="G110" s="6">
        <v>339068.88</v>
      </c>
      <c r="H110" s="5">
        <v>39.06419560741795</v>
      </c>
      <c r="I110" s="4">
        <f t="shared" si="26"/>
        <v>1.1724812669331377</v>
      </c>
      <c r="J110" s="4">
        <f t="shared" si="27"/>
        <v>0.14493789580453387</v>
      </c>
      <c r="K110" s="5">
        <f t="shared" si="28"/>
        <v>8.1691309737104678</v>
      </c>
    </row>
    <row r="111" spans="1:11" x14ac:dyDescent="0.3">
      <c r="B111" s="2" t="s">
        <v>19</v>
      </c>
      <c r="C111" s="2">
        <v>2025</v>
      </c>
      <c r="D111" s="8">
        <v>36225.620000000003</v>
      </c>
      <c r="E111" s="8">
        <v>612065.37</v>
      </c>
      <c r="F111" s="10">
        <v>409215.56999999995</v>
      </c>
      <c r="G111" s="6">
        <v>343440.48000000004</v>
      </c>
      <c r="H111" s="5">
        <v>28.7955136205019</v>
      </c>
      <c r="I111" s="4">
        <f t="shared" si="26"/>
        <v>1.1915181634966265</v>
      </c>
      <c r="J111" s="4">
        <f t="shared" si="27"/>
        <v>0.10547859704831533</v>
      </c>
      <c r="K111" s="5">
        <f t="shared" si="28"/>
        <v>5.9185867679460449</v>
      </c>
    </row>
    <row r="112" spans="1:11" x14ac:dyDescent="0.3">
      <c r="A112">
        <v>12</v>
      </c>
      <c r="B112" s="2" t="s">
        <v>20</v>
      </c>
      <c r="C112" s="2">
        <v>2016</v>
      </c>
      <c r="D112" s="8">
        <v>10801.15</v>
      </c>
      <c r="E112" s="8">
        <v>73396.320000000007</v>
      </c>
      <c r="F112" s="10">
        <v>133089.48000000001</v>
      </c>
      <c r="G112" s="6">
        <v>91575.579999999987</v>
      </c>
      <c r="H112" s="5">
        <v>10.91620681988155</v>
      </c>
      <c r="I112" s="4">
        <f>F112/G112</f>
        <v>1.4533293701224719</v>
      </c>
      <c r="J112" s="4">
        <f>D112/G112</f>
        <v>0.11794792891292637</v>
      </c>
      <c r="K112" s="5">
        <f>(D112/E112)*100</f>
        <v>14.716201030242388</v>
      </c>
    </row>
    <row r="113" spans="1:11" x14ac:dyDescent="0.3">
      <c r="B113" s="2" t="s">
        <v>20</v>
      </c>
      <c r="C113" s="2">
        <v>2017</v>
      </c>
      <c r="D113" s="8">
        <v>10719.64</v>
      </c>
      <c r="E113" s="8">
        <v>82042.490000000005</v>
      </c>
      <c r="F113" s="10">
        <v>150762.79999999999</v>
      </c>
      <c r="G113" s="6">
        <v>97838.01999999999</v>
      </c>
      <c r="H113" s="5">
        <v>10.833828552948072</v>
      </c>
      <c r="I113" s="4">
        <f t="shared" ref="I113:I121" si="29">F113/G113</f>
        <v>1.540942876808014</v>
      </c>
      <c r="J113" s="4">
        <f t="shared" ref="J113:J121" si="30">D113/G113</f>
        <v>0.10956517721842696</v>
      </c>
      <c r="K113" s="5">
        <f t="shared" ref="K113:K121" si="31">(D113/E113)*100</f>
        <v>13.065961308585342</v>
      </c>
    </row>
    <row r="114" spans="1:11" x14ac:dyDescent="0.3">
      <c r="B114" s="2" t="s">
        <v>20</v>
      </c>
      <c r="C114" s="2">
        <v>2018</v>
      </c>
      <c r="D114" s="8">
        <v>10543.95</v>
      </c>
      <c r="E114" s="8">
        <v>88083.31</v>
      </c>
      <c r="F114" s="10">
        <v>178928.79</v>
      </c>
      <c r="G114" s="6">
        <v>103563.47</v>
      </c>
      <c r="H114" s="5">
        <v>10.656267054757141</v>
      </c>
      <c r="I114" s="4">
        <f t="shared" si="29"/>
        <v>1.7277210777120544</v>
      </c>
      <c r="J114" s="4">
        <f t="shared" si="30"/>
        <v>0.10181147850685189</v>
      </c>
      <c r="K114" s="5">
        <f t="shared" si="31"/>
        <v>11.970428904181736</v>
      </c>
    </row>
    <row r="115" spans="1:11" x14ac:dyDescent="0.3">
      <c r="B115" s="2" t="s">
        <v>20</v>
      </c>
      <c r="C115" s="2">
        <v>2019</v>
      </c>
      <c r="D115" s="8">
        <v>13736.68</v>
      </c>
      <c r="E115" s="8">
        <v>100286.54</v>
      </c>
      <c r="F115" s="10">
        <v>235566.78000000003</v>
      </c>
      <c r="G115" s="6">
        <v>111356.20999999999</v>
      </c>
      <c r="H115" s="5">
        <v>13.883006892648515</v>
      </c>
      <c r="I115" s="4">
        <f t="shared" si="29"/>
        <v>2.115434603961468</v>
      </c>
      <c r="J115" s="4">
        <f t="shared" si="30"/>
        <v>0.12335800580856696</v>
      </c>
      <c r="K115" s="5">
        <f t="shared" si="31"/>
        <v>13.697431380123396</v>
      </c>
    </row>
    <row r="116" spans="1:11" x14ac:dyDescent="0.3">
      <c r="B116" s="2" t="s">
        <v>20</v>
      </c>
      <c r="C116" s="2">
        <v>2020</v>
      </c>
      <c r="D116" s="8">
        <v>11600.23</v>
      </c>
      <c r="E116" s="8">
        <v>109464.04</v>
      </c>
      <c r="F116" s="10">
        <v>258729.84</v>
      </c>
      <c r="G116" s="6">
        <v>118839.16</v>
      </c>
      <c r="H116" s="5">
        <v>11.723798839771188</v>
      </c>
      <c r="I116" s="4">
        <f t="shared" si="29"/>
        <v>2.1771429552346211</v>
      </c>
      <c r="J116" s="4">
        <f t="shared" si="30"/>
        <v>9.7612857579942494E-2</v>
      </c>
      <c r="K116" s="5">
        <f t="shared" si="31"/>
        <v>10.597297523460673</v>
      </c>
    </row>
    <row r="117" spans="1:11" x14ac:dyDescent="0.3">
      <c r="B117" s="2" t="s">
        <v>20</v>
      </c>
      <c r="C117" s="2">
        <v>2021</v>
      </c>
      <c r="D117" s="8">
        <v>14634.63</v>
      </c>
      <c r="E117" s="8">
        <v>111531.15</v>
      </c>
      <c r="F117" s="10">
        <v>272283.32</v>
      </c>
      <c r="G117" s="6">
        <v>125738.47</v>
      </c>
      <c r="H117" s="5">
        <v>15.092381944372828</v>
      </c>
      <c r="I117" s="4">
        <f t="shared" si="29"/>
        <v>2.1654734624971974</v>
      </c>
      <c r="J117" s="4">
        <f t="shared" si="30"/>
        <v>0.11638943912710246</v>
      </c>
      <c r="K117" s="5">
        <f t="shared" si="31"/>
        <v>13.121562899692149</v>
      </c>
    </row>
    <row r="118" spans="1:11" x14ac:dyDescent="0.3">
      <c r="B118" s="2" t="s">
        <v>20</v>
      </c>
      <c r="C118" s="2">
        <v>2022</v>
      </c>
      <c r="D118" s="8">
        <v>16675.900000000001</v>
      </c>
      <c r="E118" s="8">
        <v>132669.28</v>
      </c>
      <c r="F118" s="10">
        <v>280457.68</v>
      </c>
      <c r="G118" s="6">
        <v>135373.74000000002</v>
      </c>
      <c r="H118" s="5">
        <v>17.197500180473771</v>
      </c>
      <c r="I118" s="4">
        <f t="shared" si="29"/>
        <v>2.0717288301261378</v>
      </c>
      <c r="J118" s="4">
        <f t="shared" si="30"/>
        <v>0.12318415669095054</v>
      </c>
      <c r="K118" s="5">
        <f t="shared" si="31"/>
        <v>12.569526268628278</v>
      </c>
    </row>
    <row r="119" spans="1:11" x14ac:dyDescent="0.3">
      <c r="B119" s="2" t="s">
        <v>20</v>
      </c>
      <c r="C119" s="2">
        <v>2023</v>
      </c>
      <c r="D119" s="8">
        <v>16912.55</v>
      </c>
      <c r="E119" s="8">
        <v>176207.18</v>
      </c>
      <c r="F119" s="10">
        <v>300165.71999999997</v>
      </c>
      <c r="G119" s="6">
        <v>147023.17000000001</v>
      </c>
      <c r="H119" s="5">
        <v>17.441552280672806</v>
      </c>
      <c r="I119" s="4">
        <f t="shared" si="29"/>
        <v>2.0416218749738557</v>
      </c>
      <c r="J119" s="4">
        <f t="shared" si="30"/>
        <v>0.11503322911619983</v>
      </c>
      <c r="K119" s="5">
        <f t="shared" si="31"/>
        <v>9.5981049126374991</v>
      </c>
    </row>
    <row r="120" spans="1:11" x14ac:dyDescent="0.3">
      <c r="B120" s="2" t="s">
        <v>20</v>
      </c>
      <c r="C120" s="2">
        <v>2024</v>
      </c>
      <c r="D120" s="8">
        <v>20811.89</v>
      </c>
      <c r="E120" s="8">
        <v>178524.79999999999</v>
      </c>
      <c r="F120" s="10">
        <v>318568.45</v>
      </c>
      <c r="G120" s="6">
        <v>160709.27000000002</v>
      </c>
      <c r="H120" s="5">
        <v>21.462858498251983</v>
      </c>
      <c r="I120" s="4">
        <f t="shared" si="29"/>
        <v>1.9822655531942865</v>
      </c>
      <c r="J120" s="4">
        <f t="shared" si="30"/>
        <v>0.12950024600323304</v>
      </c>
      <c r="K120" s="5">
        <f t="shared" si="31"/>
        <v>11.657702459266165</v>
      </c>
    </row>
    <row r="121" spans="1:11" x14ac:dyDescent="0.3">
      <c r="B121" s="2" t="s">
        <v>20</v>
      </c>
      <c r="C121" s="2">
        <v>2025</v>
      </c>
      <c r="D121" s="8">
        <v>23422.46</v>
      </c>
      <c r="E121" s="8">
        <v>188138.06</v>
      </c>
      <c r="F121" s="10">
        <v>339425.87</v>
      </c>
      <c r="G121" s="6">
        <v>184071.16</v>
      </c>
      <c r="H121" s="5">
        <v>24.15508368826508</v>
      </c>
      <c r="I121" s="4">
        <f t="shared" si="29"/>
        <v>1.8439926710952437</v>
      </c>
      <c r="J121" s="4">
        <f t="shared" si="30"/>
        <v>0.12724676695686601</v>
      </c>
      <c r="K121" s="5">
        <f t="shared" si="31"/>
        <v>12.449612800302075</v>
      </c>
    </row>
    <row r="122" spans="1:11" x14ac:dyDescent="0.3">
      <c r="A122">
        <v>13</v>
      </c>
      <c r="B122" s="2" t="s">
        <v>21</v>
      </c>
      <c r="C122" s="2">
        <v>2016</v>
      </c>
      <c r="D122" s="8">
        <v>11579.31</v>
      </c>
      <c r="E122" s="8">
        <v>273045.59999999998</v>
      </c>
      <c r="F122" s="10">
        <v>184231.71000000002</v>
      </c>
      <c r="G122" s="6">
        <v>78952.409999999989</v>
      </c>
      <c r="H122" s="5">
        <v>40.105673316708227</v>
      </c>
      <c r="I122" s="4">
        <f>F122/G122</f>
        <v>2.3334526457140452</v>
      </c>
      <c r="J122" s="4">
        <f>D122/G122</f>
        <v>0.14666189417143824</v>
      </c>
      <c r="K122" s="5">
        <f>(D122/E122)*100</f>
        <v>4.2407971415763521</v>
      </c>
    </row>
    <row r="123" spans="1:11" x14ac:dyDescent="0.3">
      <c r="B123" s="2" t="s">
        <v>21</v>
      </c>
      <c r="C123" s="2">
        <v>2017</v>
      </c>
      <c r="D123" s="8">
        <v>7454.36</v>
      </c>
      <c r="E123" s="8">
        <v>269692.51</v>
      </c>
      <c r="F123" s="10">
        <v>214518.46999999997</v>
      </c>
      <c r="G123" s="6">
        <v>58061.89</v>
      </c>
      <c r="H123" s="5">
        <v>25.817753610639695</v>
      </c>
      <c r="I123" s="4">
        <f t="shared" ref="I123:I131" si="32">F123/G123</f>
        <v>3.6946518620044917</v>
      </c>
      <c r="J123" s="4">
        <f t="shared" ref="J123:J131" si="33">D123/G123</f>
        <v>0.1283864510783235</v>
      </c>
      <c r="K123" s="5">
        <f t="shared" ref="K123:K131" si="34">(D123/E123)*100</f>
        <v>2.764021885516954</v>
      </c>
    </row>
    <row r="124" spans="1:11" x14ac:dyDescent="0.3">
      <c r="B124" s="2" t="s">
        <v>21</v>
      </c>
      <c r="C124" s="2">
        <v>2018</v>
      </c>
      <c r="D124" s="8">
        <v>8988.91</v>
      </c>
      <c r="E124" s="8">
        <v>291550.48</v>
      </c>
      <c r="F124" s="10">
        <v>231763.9</v>
      </c>
      <c r="G124" s="6">
        <v>95427.91</v>
      </c>
      <c r="H124" s="5">
        <v>31.132580611644094</v>
      </c>
      <c r="I124" s="4">
        <f t="shared" si="32"/>
        <v>2.4286804562732223</v>
      </c>
      <c r="J124" s="4">
        <f t="shared" si="33"/>
        <v>9.4195817554843228E-2</v>
      </c>
      <c r="K124" s="5">
        <f t="shared" si="34"/>
        <v>3.0831401821049997</v>
      </c>
    </row>
    <row r="125" spans="1:11" x14ac:dyDescent="0.3">
      <c r="B125" s="2" t="s">
        <v>21</v>
      </c>
      <c r="C125" s="2">
        <v>2019</v>
      </c>
      <c r="D125" s="8">
        <v>-28826.23</v>
      </c>
      <c r="E125" s="8">
        <v>301938.40000000002</v>
      </c>
      <c r="F125" s="10">
        <v>245523.93</v>
      </c>
      <c r="G125" s="6">
        <v>60179.56</v>
      </c>
      <c r="H125" s="5">
        <v>-99.838014754268684</v>
      </c>
      <c r="I125" s="4">
        <f t="shared" si="32"/>
        <v>4.0798558513887437</v>
      </c>
      <c r="J125" s="4">
        <f t="shared" si="33"/>
        <v>-0.47900366835516911</v>
      </c>
      <c r="K125" s="5">
        <f t="shared" si="34"/>
        <v>-9.5470566181711227</v>
      </c>
    </row>
    <row r="126" spans="1:11" x14ac:dyDescent="0.3">
      <c r="B126" s="2" t="s">
        <v>21</v>
      </c>
      <c r="C126" s="2">
        <v>2020</v>
      </c>
      <c r="D126" s="8">
        <v>-12070.85</v>
      </c>
      <c r="E126" s="8">
        <v>261067.97</v>
      </c>
      <c r="F126" s="10">
        <v>257100.86</v>
      </c>
      <c r="G126" s="6">
        <v>63078.53</v>
      </c>
      <c r="H126" s="5">
        <v>-39.076885723535128</v>
      </c>
      <c r="I126" s="4">
        <f t="shared" si="32"/>
        <v>4.0758854082363678</v>
      </c>
      <c r="J126" s="4">
        <f t="shared" si="33"/>
        <v>-0.19136225907610721</v>
      </c>
      <c r="K126" s="5">
        <f t="shared" si="34"/>
        <v>-4.6236426475450054</v>
      </c>
    </row>
    <row r="127" spans="1:11" x14ac:dyDescent="0.3">
      <c r="B127" s="2" t="s">
        <v>21</v>
      </c>
      <c r="C127" s="2">
        <v>2021</v>
      </c>
      <c r="D127" s="8">
        <v>-13451.39</v>
      </c>
      <c r="E127" s="8">
        <v>249794.75</v>
      </c>
      <c r="F127" s="10">
        <v>286323.19</v>
      </c>
      <c r="G127" s="6">
        <v>55246.720000000001</v>
      </c>
      <c r="H127" s="5">
        <v>-40.512574164985097</v>
      </c>
      <c r="I127" s="4">
        <f t="shared" si="32"/>
        <v>5.1826278555541396</v>
      </c>
      <c r="J127" s="4">
        <f t="shared" si="33"/>
        <v>-0.24347852687001145</v>
      </c>
      <c r="K127" s="5">
        <f t="shared" si="34"/>
        <v>-5.3849770661713263</v>
      </c>
    </row>
    <row r="128" spans="1:11" x14ac:dyDescent="0.3">
      <c r="B128" s="2" t="s">
        <v>21</v>
      </c>
      <c r="C128" s="2">
        <v>2022</v>
      </c>
      <c r="D128" s="8">
        <v>-11441.47</v>
      </c>
      <c r="E128" s="8">
        <v>278453.62</v>
      </c>
      <c r="F128" s="10">
        <v>284500.25</v>
      </c>
      <c r="G128" s="6">
        <v>44561.24</v>
      </c>
      <c r="H128" s="5">
        <v>-34.454994428885477</v>
      </c>
      <c r="I128" s="4">
        <f t="shared" si="32"/>
        <v>6.3844778556431558</v>
      </c>
      <c r="J128" s="4">
        <f t="shared" si="33"/>
        <v>-0.25675833975894746</v>
      </c>
      <c r="K128" s="5">
        <f t="shared" si="34"/>
        <v>-4.1089320368684739</v>
      </c>
    </row>
    <row r="129" spans="1:11" x14ac:dyDescent="0.3">
      <c r="B129" s="2" t="s">
        <v>21</v>
      </c>
      <c r="C129" s="2">
        <v>2023</v>
      </c>
      <c r="D129" s="8">
        <v>2414.29</v>
      </c>
      <c r="E129" s="8">
        <v>345966.97</v>
      </c>
      <c r="F129" s="10">
        <v>289352.64</v>
      </c>
      <c r="G129" s="6">
        <v>45321.789999999994</v>
      </c>
      <c r="H129" s="5">
        <v>7.2691114924878812</v>
      </c>
      <c r="I129" s="4">
        <f t="shared" si="32"/>
        <v>6.384404499469241</v>
      </c>
      <c r="J129" s="4">
        <f t="shared" si="33"/>
        <v>5.326996131441411E-2</v>
      </c>
      <c r="K129" s="5">
        <f t="shared" si="34"/>
        <v>0.69783829363826266</v>
      </c>
    </row>
    <row r="130" spans="1:11" x14ac:dyDescent="0.3">
      <c r="B130" s="2" t="s">
        <v>21</v>
      </c>
      <c r="C130" s="2">
        <v>2024</v>
      </c>
      <c r="D130" s="2">
        <v>31399</v>
      </c>
      <c r="E130" s="2">
        <v>434016</v>
      </c>
      <c r="F130">
        <v>284603</v>
      </c>
      <c r="G130">
        <v>84918</v>
      </c>
      <c r="H130" s="5">
        <v>94.470018353040288</v>
      </c>
      <c r="I130" s="4">
        <f t="shared" si="32"/>
        <v>3.3515038036694222</v>
      </c>
      <c r="J130" s="4">
        <f t="shared" si="33"/>
        <v>0.36975670646977082</v>
      </c>
      <c r="K130" s="5">
        <f t="shared" si="34"/>
        <v>7.2345259160952597</v>
      </c>
    </row>
    <row r="131" spans="1:11" x14ac:dyDescent="0.3">
      <c r="B131" s="2" t="s">
        <v>21</v>
      </c>
      <c r="C131" s="2">
        <v>2025</v>
      </c>
      <c r="D131" s="2">
        <v>27830</v>
      </c>
      <c r="E131" s="2">
        <v>439695</v>
      </c>
      <c r="F131">
        <v>260829</v>
      </c>
      <c r="G131">
        <v>116144</v>
      </c>
      <c r="H131" s="5">
        <v>75.598294080895343</v>
      </c>
      <c r="I131" s="4">
        <f t="shared" si="32"/>
        <v>2.2457380493180881</v>
      </c>
      <c r="J131" s="4">
        <f t="shared" si="33"/>
        <v>0.23961633833861412</v>
      </c>
      <c r="K131" s="5">
        <f t="shared" si="34"/>
        <v>6.3293874162771919</v>
      </c>
    </row>
    <row r="132" spans="1:11" x14ac:dyDescent="0.3">
      <c r="A132">
        <v>14</v>
      </c>
      <c r="B132" s="2" t="s">
        <v>22</v>
      </c>
      <c r="C132" s="2">
        <v>2016</v>
      </c>
      <c r="D132" s="9">
        <v>3148.43</v>
      </c>
      <c r="E132" s="8">
        <v>75841.42</v>
      </c>
      <c r="F132" s="10">
        <v>73359.17</v>
      </c>
      <c r="G132" s="10">
        <v>26492.65</v>
      </c>
      <c r="H132" s="5">
        <v>25.345596522299147</v>
      </c>
      <c r="I132" s="4">
        <f>F132/G132</f>
        <v>2.7690385823992689</v>
      </c>
      <c r="J132" s="4">
        <f>D132/G132</f>
        <v>0.11884164098344256</v>
      </c>
      <c r="K132" s="5">
        <f>(D131/E131)*100</f>
        <v>6.3293874162771919</v>
      </c>
    </row>
    <row r="133" spans="1:11" x14ac:dyDescent="0.3">
      <c r="B133" s="2" t="s">
        <v>22</v>
      </c>
      <c r="C133" s="2">
        <v>2017</v>
      </c>
      <c r="D133" s="9">
        <v>3698.04</v>
      </c>
      <c r="E133" s="8">
        <v>83773.05</v>
      </c>
      <c r="F133" s="10">
        <v>84057.83</v>
      </c>
      <c r="G133" s="10">
        <v>29777.649999999998</v>
      </c>
      <c r="H133" s="5">
        <v>29.770085332474643</v>
      </c>
      <c r="I133" s="4">
        <f t="shared" ref="I133:I141" si="35">F133/G133</f>
        <v>2.8228496876012716</v>
      </c>
      <c r="J133" s="4">
        <f t="shared" ref="J133:J141" si="36">D133/G133</f>
        <v>0.12418844334593228</v>
      </c>
      <c r="K133" s="5">
        <f t="shared" ref="K133:K141" si="37">(D132/E132)*100</f>
        <v>4.1513331369586695</v>
      </c>
    </row>
    <row r="134" spans="1:11" x14ac:dyDescent="0.3">
      <c r="B134" s="2" t="s">
        <v>22</v>
      </c>
      <c r="C134" s="2">
        <v>2018</v>
      </c>
      <c r="D134" s="9">
        <v>7510.39</v>
      </c>
      <c r="E134" s="8">
        <v>92093.95</v>
      </c>
      <c r="F134" s="10">
        <v>99594.12</v>
      </c>
      <c r="G134" s="10">
        <v>36775.189999999995</v>
      </c>
      <c r="H134" s="5">
        <v>60.411759974259979</v>
      </c>
      <c r="I134" s="4">
        <f t="shared" si="35"/>
        <v>2.708187775508434</v>
      </c>
      <c r="J134" s="4">
        <f t="shared" si="36"/>
        <v>0.20422436974492861</v>
      </c>
      <c r="K134" s="5">
        <f t="shared" si="37"/>
        <v>4.4143552132815982</v>
      </c>
    </row>
    <row r="135" spans="1:11" x14ac:dyDescent="0.3">
      <c r="B135" s="2" t="s">
        <v>22</v>
      </c>
      <c r="C135" s="2">
        <v>2019</v>
      </c>
      <c r="D135" s="9">
        <v>5315.46</v>
      </c>
      <c r="E135" s="8">
        <v>104720.68</v>
      </c>
      <c r="F135" s="10">
        <v>121905.25</v>
      </c>
      <c r="G135" s="10">
        <v>39983.409999999996</v>
      </c>
      <c r="H135" s="5">
        <v>42.756274131274132</v>
      </c>
      <c r="I135" s="4">
        <f t="shared" si="35"/>
        <v>3.0488957795245581</v>
      </c>
      <c r="J135" s="4">
        <f t="shared" si="36"/>
        <v>0.13294163754417146</v>
      </c>
      <c r="K135" s="5">
        <f t="shared" si="37"/>
        <v>8.1551393984078224</v>
      </c>
    </row>
    <row r="136" spans="1:11" x14ac:dyDescent="0.3">
      <c r="B136" s="2" t="s">
        <v>22</v>
      </c>
      <c r="C136" s="2">
        <v>2020</v>
      </c>
      <c r="D136" s="9">
        <v>127.04</v>
      </c>
      <c r="E136" s="8">
        <v>75381.929999999993</v>
      </c>
      <c r="F136" s="10">
        <v>125746.82</v>
      </c>
      <c r="G136" s="10">
        <v>39969.31</v>
      </c>
      <c r="H136" s="5">
        <v>1.0218790218790219</v>
      </c>
      <c r="I136" s="4">
        <f t="shared" si="35"/>
        <v>3.1460843332046515</v>
      </c>
      <c r="J136" s="4">
        <f t="shared" si="36"/>
        <v>3.1784386570596294E-3</v>
      </c>
      <c r="K136" s="5">
        <f t="shared" si="37"/>
        <v>5.0758455731952852</v>
      </c>
    </row>
    <row r="137" spans="1:11" x14ac:dyDescent="0.3">
      <c r="B137" s="2" t="s">
        <v>22</v>
      </c>
      <c r="C137" s="2">
        <v>2021</v>
      </c>
      <c r="D137" s="9">
        <v>1812.49</v>
      </c>
      <c r="E137" s="8">
        <v>74277.78</v>
      </c>
      <c r="F137" s="10">
        <v>123386.41</v>
      </c>
      <c r="G137" s="10">
        <v>41581.919999999998</v>
      </c>
      <c r="H137" s="5">
        <v>14.579231016731018</v>
      </c>
      <c r="I137" s="4">
        <f t="shared" si="35"/>
        <v>2.9673091093436765</v>
      </c>
      <c r="J137" s="4">
        <f t="shared" si="36"/>
        <v>4.3588415349748159E-2</v>
      </c>
      <c r="K137" s="5">
        <f t="shared" si="37"/>
        <v>0.16852845237578823</v>
      </c>
    </row>
    <row r="138" spans="1:11" x14ac:dyDescent="0.3">
      <c r="B138" s="2" t="s">
        <v>22</v>
      </c>
      <c r="C138" s="2">
        <v>2022</v>
      </c>
      <c r="D138" s="9">
        <v>6577.32</v>
      </c>
      <c r="E138" s="8">
        <v>90170.57</v>
      </c>
      <c r="F138" s="10">
        <v>125265.85</v>
      </c>
      <c r="G138" s="10">
        <v>47122.64</v>
      </c>
      <c r="H138" s="5">
        <v>52.906370656370655</v>
      </c>
      <c r="I138" s="4">
        <f t="shared" si="35"/>
        <v>2.6582943994648858</v>
      </c>
      <c r="J138" s="4">
        <f t="shared" si="36"/>
        <v>0.13957876723375431</v>
      </c>
      <c r="K138" s="5">
        <f t="shared" si="37"/>
        <v>2.4401510115138065</v>
      </c>
    </row>
    <row r="139" spans="1:11" x14ac:dyDescent="0.3">
      <c r="B139" s="2" t="s">
        <v>22</v>
      </c>
      <c r="C139" s="2">
        <v>2023</v>
      </c>
      <c r="D139" s="9">
        <v>10281.5</v>
      </c>
      <c r="E139" s="8">
        <v>121268.55</v>
      </c>
      <c r="F139" s="10">
        <v>147917.34</v>
      </c>
      <c r="G139" s="10">
        <v>56365.79</v>
      </c>
      <c r="H139" s="5">
        <v>82.681946119823081</v>
      </c>
      <c r="I139" s="4">
        <f t="shared" si="35"/>
        <v>2.6242396318760011</v>
      </c>
      <c r="J139" s="4">
        <f t="shared" si="36"/>
        <v>0.18240673997472581</v>
      </c>
      <c r="K139" s="5">
        <f t="shared" si="37"/>
        <v>7.2943089968267909</v>
      </c>
    </row>
    <row r="140" spans="1:11" x14ac:dyDescent="0.3">
      <c r="B140" s="2" t="s">
        <v>22</v>
      </c>
      <c r="C140" s="2">
        <v>2024</v>
      </c>
      <c r="D140" s="9">
        <v>11268.64</v>
      </c>
      <c r="E140" s="8">
        <v>139078.26999999999</v>
      </c>
      <c r="F140" s="10">
        <v>168531.19</v>
      </c>
      <c r="G140" s="10">
        <v>66190.55</v>
      </c>
      <c r="H140" s="5">
        <v>90.620345798150382</v>
      </c>
      <c r="I140" s="4">
        <f t="shared" si="35"/>
        <v>2.5461518298306931</v>
      </c>
      <c r="J140" s="4">
        <f t="shared" si="36"/>
        <v>0.1702454504457207</v>
      </c>
      <c r="K140" s="5">
        <f t="shared" si="37"/>
        <v>8.4782905378187507</v>
      </c>
    </row>
    <row r="141" spans="1:11" x14ac:dyDescent="0.3">
      <c r="B141" s="2" t="s">
        <v>22</v>
      </c>
      <c r="C141" s="2">
        <v>2025</v>
      </c>
      <c r="D141" s="9">
        <v>12929.1</v>
      </c>
      <c r="E141" s="8">
        <v>159210.82</v>
      </c>
      <c r="F141" s="10">
        <v>198974.3</v>
      </c>
      <c r="G141" s="10">
        <v>77038.86</v>
      </c>
      <c r="H141" s="5">
        <v>103.97346200241255</v>
      </c>
      <c r="I141" s="4">
        <f t="shared" si="35"/>
        <v>2.5827783536776114</v>
      </c>
      <c r="J141" s="4">
        <f t="shared" si="36"/>
        <v>0.1678256921247277</v>
      </c>
      <c r="K141" s="5">
        <f t="shared" si="37"/>
        <v>8.1023728581035712</v>
      </c>
    </row>
    <row r="142" spans="1:11" x14ac:dyDescent="0.3">
      <c r="A142">
        <v>15</v>
      </c>
      <c r="B142" s="2" t="s">
        <v>23</v>
      </c>
      <c r="C142" s="2">
        <v>2016</v>
      </c>
      <c r="D142" s="9">
        <v>5497.2</v>
      </c>
      <c r="E142" s="8">
        <v>57589</v>
      </c>
      <c r="F142" s="10">
        <v>12109.5</v>
      </c>
      <c r="G142" s="10">
        <v>30616</v>
      </c>
      <c r="H142" s="5">
        <v>181.96623634558091</v>
      </c>
      <c r="I142" s="4">
        <f>F142/G142</f>
        <v>0.39552848183956102</v>
      </c>
      <c r="J142" s="4">
        <f>D142/G142</f>
        <v>0.17955317481055658</v>
      </c>
      <c r="K142" s="5">
        <f>(D142/E142)*100</f>
        <v>9.5455729392765978</v>
      </c>
    </row>
    <row r="143" spans="1:11" x14ac:dyDescent="0.3">
      <c r="B143" s="2" t="s">
        <v>23</v>
      </c>
      <c r="C143" s="2">
        <v>2017</v>
      </c>
      <c r="D143" s="9">
        <v>7509.9</v>
      </c>
      <c r="E143" s="8">
        <v>68085</v>
      </c>
      <c r="F143" s="10">
        <v>14885.4</v>
      </c>
      <c r="G143" s="10">
        <v>37075.1</v>
      </c>
      <c r="H143" s="5">
        <v>248.58987090367427</v>
      </c>
      <c r="I143" s="4">
        <f t="shared" ref="I143:I151" si="38">F143/G143</f>
        <v>0.40149318545330964</v>
      </c>
      <c r="J143" s="4">
        <f t="shared" ref="J143:J151" si="39">D143/G143</f>
        <v>0.20255912998211736</v>
      </c>
      <c r="K143" s="5">
        <f t="shared" ref="K143:K151" si="40">(D143/E143)*100</f>
        <v>11.030182859660718</v>
      </c>
    </row>
    <row r="144" spans="1:11" x14ac:dyDescent="0.3">
      <c r="B144" s="2" t="s">
        <v>23</v>
      </c>
      <c r="C144" s="2">
        <v>2018</v>
      </c>
      <c r="D144" s="9">
        <v>7880</v>
      </c>
      <c r="E144" s="8">
        <v>79809.399999999994</v>
      </c>
      <c r="F144" s="10">
        <v>17689</v>
      </c>
      <c r="G144" s="10">
        <v>42559.4</v>
      </c>
      <c r="H144" s="5">
        <v>260.84078119827871</v>
      </c>
      <c r="I144" s="4">
        <f t="shared" si="38"/>
        <v>0.41563085945760514</v>
      </c>
      <c r="J144" s="4">
        <f t="shared" si="39"/>
        <v>0.18515298617931644</v>
      </c>
      <c r="K144" s="5">
        <f t="shared" si="40"/>
        <v>9.8735236701441185</v>
      </c>
    </row>
    <row r="145" spans="1:11" x14ac:dyDescent="0.3">
      <c r="B145" s="2" t="s">
        <v>23</v>
      </c>
      <c r="C145" s="2">
        <v>2019</v>
      </c>
      <c r="D145" s="9">
        <v>7649.1</v>
      </c>
      <c r="E145" s="8">
        <v>86068.5</v>
      </c>
      <c r="F145" s="10">
        <v>16876.599999999999</v>
      </c>
      <c r="G145" s="10">
        <v>47092.1</v>
      </c>
      <c r="H145" s="5">
        <v>253.19761668321749</v>
      </c>
      <c r="I145" s="4">
        <f t="shared" si="38"/>
        <v>0.35837433454868223</v>
      </c>
      <c r="J145" s="4">
        <f t="shared" si="39"/>
        <v>0.16242851773439707</v>
      </c>
      <c r="K145" s="5">
        <f t="shared" si="40"/>
        <v>8.8872235486850588</v>
      </c>
    </row>
    <row r="146" spans="1:11" x14ac:dyDescent="0.3">
      <c r="B146" s="2" t="s">
        <v>23</v>
      </c>
      <c r="C146" s="2">
        <v>2020</v>
      </c>
      <c r="D146" s="9">
        <v>5676</v>
      </c>
      <c r="E146" s="8">
        <v>75660</v>
      </c>
      <c r="F146" s="10">
        <v>14214.7</v>
      </c>
      <c r="G146" s="10">
        <v>49413</v>
      </c>
      <c r="H146" s="5">
        <v>187.88480635551142</v>
      </c>
      <c r="I146" s="4">
        <f t="shared" si="38"/>
        <v>0.28767126059943743</v>
      </c>
      <c r="J146" s="4">
        <f t="shared" si="39"/>
        <v>0.11486855685750713</v>
      </c>
      <c r="K146" s="5">
        <f t="shared" si="40"/>
        <v>7.5019825535289453</v>
      </c>
    </row>
    <row r="147" spans="1:11" x14ac:dyDescent="0.3">
      <c r="B147" s="2" t="s">
        <v>23</v>
      </c>
      <c r="C147" s="2">
        <v>2021</v>
      </c>
      <c r="D147" s="9">
        <v>4389.1000000000004</v>
      </c>
      <c r="E147" s="8">
        <v>70372</v>
      </c>
      <c r="F147" s="10">
        <v>18875.5</v>
      </c>
      <c r="G147" s="10">
        <v>52500.6</v>
      </c>
      <c r="H147" s="5">
        <v>145.28632903012249</v>
      </c>
      <c r="I147" s="4">
        <f t="shared" si="38"/>
        <v>0.3595292244279113</v>
      </c>
      <c r="J147" s="4">
        <f t="shared" si="39"/>
        <v>8.3600949322483936E-2</v>
      </c>
      <c r="K147" s="5">
        <f t="shared" si="40"/>
        <v>6.2369976695276534</v>
      </c>
    </row>
    <row r="148" spans="1:11" x14ac:dyDescent="0.3">
      <c r="B148" s="2" t="s">
        <v>23</v>
      </c>
      <c r="C148" s="2">
        <v>2022</v>
      </c>
      <c r="D148" s="9">
        <v>3879.5</v>
      </c>
      <c r="E148" s="8">
        <v>88329.8</v>
      </c>
      <c r="F148" s="10">
        <v>19322</v>
      </c>
      <c r="G148" s="10">
        <v>55333.5</v>
      </c>
      <c r="H148" s="5">
        <v>128.41774246938098</v>
      </c>
      <c r="I148" s="4">
        <f t="shared" si="38"/>
        <v>0.34919171930205029</v>
      </c>
      <c r="J148" s="4">
        <f t="shared" si="39"/>
        <v>7.011123460471505E-2</v>
      </c>
      <c r="K148" s="5">
        <f t="shared" si="40"/>
        <v>4.3920624749518282</v>
      </c>
    </row>
    <row r="149" spans="1:11" x14ac:dyDescent="0.3">
      <c r="B149" s="2" t="s">
        <v>23</v>
      </c>
      <c r="C149" s="2">
        <v>2023</v>
      </c>
      <c r="D149" s="9">
        <v>8263.7000000000007</v>
      </c>
      <c r="E149" s="8">
        <v>118409.9</v>
      </c>
      <c r="F149" s="10">
        <v>25505.8</v>
      </c>
      <c r="G149" s="10">
        <v>74600.2</v>
      </c>
      <c r="H149" s="5">
        <v>273.54187355180403</v>
      </c>
      <c r="I149" s="4">
        <f t="shared" si="38"/>
        <v>0.3418998876678615</v>
      </c>
      <c r="J149" s="4">
        <f t="shared" si="39"/>
        <v>0.11077316146605506</v>
      </c>
      <c r="K149" s="5">
        <f t="shared" si="40"/>
        <v>6.9788928121719565</v>
      </c>
    </row>
    <row r="150" spans="1:11" x14ac:dyDescent="0.3">
      <c r="B150" s="2" t="s">
        <v>23</v>
      </c>
      <c r="C150" s="2">
        <v>2024</v>
      </c>
      <c r="D150" s="9">
        <v>13488.2</v>
      </c>
      <c r="E150" s="8">
        <v>141858.20000000001</v>
      </c>
      <c r="F150" s="10">
        <v>29668.1</v>
      </c>
      <c r="G150" s="10">
        <v>85636</v>
      </c>
      <c r="H150" s="5">
        <v>429.01399491094151</v>
      </c>
      <c r="I150" s="4">
        <f t="shared" si="38"/>
        <v>0.34644425241720772</v>
      </c>
      <c r="J150" s="4">
        <f t="shared" si="39"/>
        <v>0.15750618898594049</v>
      </c>
      <c r="K150" s="5">
        <f t="shared" si="40"/>
        <v>9.508227229726586</v>
      </c>
    </row>
    <row r="151" spans="1:11" x14ac:dyDescent="0.3">
      <c r="B151" s="2" t="s">
        <v>23</v>
      </c>
      <c r="C151" s="2">
        <v>2025</v>
      </c>
      <c r="D151" s="2">
        <v>14500.2</v>
      </c>
      <c r="E151" s="2">
        <v>152913</v>
      </c>
      <c r="F151" s="10">
        <v>35731.300000000003</v>
      </c>
      <c r="G151" s="10">
        <v>96239.9</v>
      </c>
      <c r="H151" s="5">
        <v>461.20229007633588</v>
      </c>
      <c r="I151" s="4">
        <f t="shared" si="38"/>
        <v>0.37127324529638961</v>
      </c>
      <c r="J151" s="4">
        <f t="shared" si="39"/>
        <v>0.15066723884792069</v>
      </c>
      <c r="K151" s="5">
        <f t="shared" si="40"/>
        <v>9.482646995350299</v>
      </c>
    </row>
    <row r="152" spans="1:11" x14ac:dyDescent="0.3">
      <c r="A152">
        <v>16</v>
      </c>
      <c r="B152" s="2" t="s">
        <v>24</v>
      </c>
      <c r="C152" s="2">
        <v>2016</v>
      </c>
      <c r="D152" s="9">
        <v>-382.78</v>
      </c>
      <c r="E152" s="9">
        <v>101964.72</v>
      </c>
      <c r="F152" s="10">
        <v>133151.44</v>
      </c>
      <c r="G152" s="10">
        <v>43732.549999999996</v>
      </c>
      <c r="H152" s="5">
        <v>-0.33975963501446804</v>
      </c>
      <c r="I152" s="4">
        <f>F152/G152</f>
        <v>3.0446758764352873</v>
      </c>
      <c r="J152" s="4">
        <f>D152/G152</f>
        <v>-8.7527482390119034E-3</v>
      </c>
      <c r="K152" s="5">
        <f>(D152/E152)*100</f>
        <v>-0.37540435554572205</v>
      </c>
    </row>
    <row r="153" spans="1:11" x14ac:dyDescent="0.3">
      <c r="B153" s="2" t="s">
        <v>24</v>
      </c>
      <c r="C153" s="2">
        <v>2017</v>
      </c>
      <c r="D153" s="9">
        <v>-4240.8</v>
      </c>
      <c r="E153" s="9">
        <v>112299.42</v>
      </c>
      <c r="F153" s="10">
        <v>134628.04999999999</v>
      </c>
      <c r="G153" s="10">
        <v>37819.32</v>
      </c>
      <c r="H153" s="5">
        <v>-3.7641795814027805</v>
      </c>
      <c r="I153" s="4">
        <f t="shared" ref="I153:I161" si="41">F153/G153</f>
        <v>3.5597691867542829</v>
      </c>
      <c r="J153" s="4">
        <f t="shared" ref="J153:J161" si="42">D153/G153</f>
        <v>-0.11213316368459296</v>
      </c>
      <c r="K153" s="5">
        <f t="shared" ref="K153:K161" si="43">(D153/E153)*100</f>
        <v>-3.7763329498941318</v>
      </c>
    </row>
    <row r="154" spans="1:11" x14ac:dyDescent="0.3">
      <c r="B154" s="2" t="s">
        <v>24</v>
      </c>
      <c r="C154" s="2">
        <v>2018</v>
      </c>
      <c r="D154" s="9">
        <v>13434.33</v>
      </c>
      <c r="E154" s="9">
        <v>123249.07</v>
      </c>
      <c r="F154" s="10">
        <v>147851.52000000002</v>
      </c>
      <c r="G154" s="10">
        <v>60870.619999999995</v>
      </c>
      <c r="H154" s="5">
        <v>11.925937433420922</v>
      </c>
      <c r="I154" s="4">
        <f t="shared" si="41"/>
        <v>2.4289471669583786</v>
      </c>
      <c r="J154" s="4">
        <f t="shared" si="42"/>
        <v>0.22070302553185758</v>
      </c>
      <c r="K154" s="5">
        <f t="shared" si="43"/>
        <v>10.900147157297008</v>
      </c>
    </row>
    <row r="155" spans="1:11" x14ac:dyDescent="0.3">
      <c r="B155" s="2" t="s">
        <v>24</v>
      </c>
      <c r="C155" s="2">
        <v>2019</v>
      </c>
      <c r="D155" s="9">
        <v>10218.33</v>
      </c>
      <c r="E155" s="9">
        <v>157668.99</v>
      </c>
      <c r="F155" s="10">
        <v>163848.35999999999</v>
      </c>
      <c r="G155" s="10">
        <v>68925.08</v>
      </c>
      <c r="H155" s="5">
        <v>9.0709460359168741</v>
      </c>
      <c r="I155" s="4">
        <f t="shared" si="41"/>
        <v>2.3771950645541504</v>
      </c>
      <c r="J155" s="4">
        <f t="shared" si="42"/>
        <v>0.14825271149485789</v>
      </c>
      <c r="K155" s="5">
        <f t="shared" si="43"/>
        <v>6.480874901272597</v>
      </c>
    </row>
    <row r="156" spans="1:11" x14ac:dyDescent="0.3">
      <c r="B156" s="2" t="s">
        <v>24</v>
      </c>
      <c r="C156" s="2">
        <v>2020</v>
      </c>
      <c r="D156" s="9">
        <v>1556.54</v>
      </c>
      <c r="E156" s="9">
        <v>139816.65</v>
      </c>
      <c r="F156" s="10">
        <v>175572.82</v>
      </c>
      <c r="G156" s="10">
        <v>73576.3</v>
      </c>
      <c r="H156" s="5">
        <v>1.3817610453710196</v>
      </c>
      <c r="I156" s="4">
        <f t="shared" si="41"/>
        <v>2.3862686761905669</v>
      </c>
      <c r="J156" s="4">
        <f t="shared" si="42"/>
        <v>2.1155453590354503E-2</v>
      </c>
      <c r="K156" s="5">
        <f t="shared" si="43"/>
        <v>1.1132722747970289</v>
      </c>
    </row>
    <row r="157" spans="1:11" x14ac:dyDescent="0.3">
      <c r="B157" s="2" t="s">
        <v>24</v>
      </c>
      <c r="C157" s="2">
        <v>2021</v>
      </c>
      <c r="D157" s="9">
        <v>7490.22</v>
      </c>
      <c r="E157" s="9">
        <v>156294.18</v>
      </c>
      <c r="F157" s="10">
        <v>169670.41999999998</v>
      </c>
      <c r="G157" s="10">
        <v>74238.77</v>
      </c>
      <c r="H157" s="5">
        <v>6.2596378040932992</v>
      </c>
      <c r="I157" s="4">
        <f t="shared" si="41"/>
        <v>2.2854691692763764</v>
      </c>
      <c r="J157" s="4">
        <f t="shared" si="42"/>
        <v>0.10089364357733836</v>
      </c>
      <c r="K157" s="5">
        <f t="shared" si="43"/>
        <v>4.7923857433462977</v>
      </c>
    </row>
    <row r="158" spans="1:11" x14ac:dyDescent="0.3">
      <c r="B158" s="2" t="s">
        <v>24</v>
      </c>
      <c r="C158" s="2">
        <v>2022</v>
      </c>
      <c r="D158" s="9">
        <v>40153.93</v>
      </c>
      <c r="E158" s="9">
        <v>243959.17</v>
      </c>
      <c r="F158" s="10">
        <v>167978.63</v>
      </c>
      <c r="G158" s="10">
        <v>114443.04000000001</v>
      </c>
      <c r="H158" s="5">
        <v>32.878023417669695</v>
      </c>
      <c r="I158" s="4">
        <f t="shared" si="41"/>
        <v>1.4677924494141363</v>
      </c>
      <c r="J158" s="4">
        <f t="shared" si="42"/>
        <v>0.35086388827140558</v>
      </c>
      <c r="K158" s="5">
        <f t="shared" si="43"/>
        <v>16.459282920170619</v>
      </c>
    </row>
    <row r="159" spans="1:11" x14ac:dyDescent="0.3">
      <c r="B159" s="2" t="s">
        <v>24</v>
      </c>
      <c r="C159" s="2">
        <v>2023</v>
      </c>
      <c r="D159" s="9">
        <v>8760.4</v>
      </c>
      <c r="E159" s="9">
        <v>243352.69</v>
      </c>
      <c r="F159" s="10">
        <v>182313.68</v>
      </c>
      <c r="G159" s="10">
        <v>103082.1</v>
      </c>
      <c r="H159" s="5">
        <v>7.168199522141852</v>
      </c>
      <c r="I159" s="4">
        <f t="shared" si="41"/>
        <v>1.7686259787101735</v>
      </c>
      <c r="J159" s="4">
        <f t="shared" si="42"/>
        <v>8.4984686963109984E-2</v>
      </c>
      <c r="K159" s="5">
        <f t="shared" si="43"/>
        <v>3.5998780206621097</v>
      </c>
    </row>
    <row r="160" spans="1:11" x14ac:dyDescent="0.3">
      <c r="B160" s="2" t="s">
        <v>24</v>
      </c>
      <c r="C160" s="2">
        <v>2024</v>
      </c>
      <c r="D160" s="9">
        <v>-4437.4399999999996</v>
      </c>
      <c r="E160" s="9">
        <v>229170.78</v>
      </c>
      <c r="F160" s="10">
        <v>177276.65999999997</v>
      </c>
      <c r="G160" s="10">
        <v>92035.760000000009</v>
      </c>
      <c r="H160" s="5">
        <v>-3.5546441302519325</v>
      </c>
      <c r="I160" s="4">
        <f t="shared" si="41"/>
        <v>1.9261715228950134</v>
      </c>
      <c r="J160" s="4">
        <f t="shared" si="42"/>
        <v>-4.8214302788394413E-2</v>
      </c>
      <c r="K160" s="5">
        <f t="shared" si="43"/>
        <v>-1.9363026996722703</v>
      </c>
    </row>
    <row r="161" spans="1:11" x14ac:dyDescent="0.3">
      <c r="B161" s="2" t="s">
        <v>24</v>
      </c>
      <c r="C161" s="2">
        <v>2025</v>
      </c>
      <c r="D161" s="9">
        <v>3420.51</v>
      </c>
      <c r="E161" s="9">
        <v>218542.51</v>
      </c>
      <c r="F161" s="10">
        <v>184288.95</v>
      </c>
      <c r="G161" s="10">
        <v>91169.63</v>
      </c>
      <c r="H161" s="5">
        <v>2.7400248327792691</v>
      </c>
      <c r="I161" s="4">
        <f t="shared" si="41"/>
        <v>2.0213853012236642</v>
      </c>
      <c r="J161" s="4">
        <f t="shared" si="42"/>
        <v>3.7518085792385032E-2</v>
      </c>
      <c r="K161" s="5">
        <f t="shared" si="43"/>
        <v>1.5651462957938937</v>
      </c>
    </row>
    <row r="162" spans="1:11" x14ac:dyDescent="0.3">
      <c r="A162">
        <v>17</v>
      </c>
      <c r="B162" s="2" t="s">
        <v>25</v>
      </c>
      <c r="C162" s="2">
        <v>2016</v>
      </c>
      <c r="D162" s="9">
        <v>-335.43</v>
      </c>
      <c r="E162" s="9">
        <v>41546.17</v>
      </c>
      <c r="F162" s="10">
        <v>62941.45</v>
      </c>
      <c r="G162" s="10">
        <v>18965.45</v>
      </c>
      <c r="H162" s="5">
        <v>-1.3876799602846268</v>
      </c>
      <c r="I162" s="4">
        <f>F162/G162</f>
        <v>3.318742766451626</v>
      </c>
      <c r="J162" s="4">
        <f>D162/G162</f>
        <v>-1.768637179713637E-2</v>
      </c>
      <c r="K162" s="5">
        <f>(D162/E162)*100</f>
        <v>-0.80736684031283756</v>
      </c>
    </row>
    <row r="163" spans="1:11" x14ac:dyDescent="0.3">
      <c r="B163" s="2" t="s">
        <v>25</v>
      </c>
      <c r="C163" s="2">
        <v>2017</v>
      </c>
      <c r="D163" s="9">
        <v>3523</v>
      </c>
      <c r="E163" s="9">
        <v>55604</v>
      </c>
      <c r="F163" s="10">
        <v>65358</v>
      </c>
      <c r="G163" s="10">
        <v>22647</v>
      </c>
      <c r="H163" s="5">
        <v>14.57471454575542</v>
      </c>
      <c r="I163" s="4">
        <f t="shared" ref="I163:I171" si="44">F163/G163</f>
        <v>2.8859451582991125</v>
      </c>
      <c r="J163" s="4">
        <f t="shared" ref="J163:J171" si="45">D163/G163</f>
        <v>0.15556144301673511</v>
      </c>
      <c r="K163" s="5">
        <f t="shared" ref="K163:K171" si="46">(D163/E163)*100</f>
        <v>6.3358751168980652</v>
      </c>
    </row>
    <row r="164" spans="1:11" x14ac:dyDescent="0.3">
      <c r="B164" s="2" t="s">
        <v>25</v>
      </c>
      <c r="C164" s="2">
        <v>2018</v>
      </c>
      <c r="D164" s="9">
        <v>6214</v>
      </c>
      <c r="E164" s="9">
        <v>71933</v>
      </c>
      <c r="F164" s="10">
        <v>63972</v>
      </c>
      <c r="G164" s="10">
        <v>27998</v>
      </c>
      <c r="H164" s="5">
        <v>25.707430084395167</v>
      </c>
      <c r="I164" s="4">
        <f t="shared" si="44"/>
        <v>2.2848774912493748</v>
      </c>
      <c r="J164" s="4">
        <f t="shared" si="45"/>
        <v>0.22194442460175726</v>
      </c>
      <c r="K164" s="5">
        <f t="shared" si="46"/>
        <v>8.6385942474246864</v>
      </c>
    </row>
    <row r="165" spans="1:11" x14ac:dyDescent="0.3">
      <c r="B165" s="2" t="s">
        <v>25</v>
      </c>
      <c r="C165" s="2">
        <v>2019</v>
      </c>
      <c r="D165" s="9">
        <v>7639</v>
      </c>
      <c r="E165" s="9">
        <v>84757</v>
      </c>
      <c r="F165" s="10">
        <v>80002</v>
      </c>
      <c r="G165" s="10">
        <v>34795</v>
      </c>
      <c r="H165" s="5">
        <v>31.602680787688236</v>
      </c>
      <c r="I165" s="4">
        <f t="shared" si="44"/>
        <v>2.2992383963213103</v>
      </c>
      <c r="J165" s="4">
        <f t="shared" si="45"/>
        <v>0.21954303779278633</v>
      </c>
      <c r="K165" s="5">
        <f t="shared" si="46"/>
        <v>9.0128248994183373</v>
      </c>
    </row>
    <row r="166" spans="1:11" x14ac:dyDescent="0.3">
      <c r="B166" s="2" t="s">
        <v>25</v>
      </c>
      <c r="C166" s="2">
        <v>2020</v>
      </c>
      <c r="D166" s="9">
        <v>4030</v>
      </c>
      <c r="E166" s="9">
        <v>73326</v>
      </c>
      <c r="F166" s="10">
        <v>95221</v>
      </c>
      <c r="G166" s="10">
        <v>36599</v>
      </c>
      <c r="H166" s="5">
        <v>16.672182690716532</v>
      </c>
      <c r="I166" s="4">
        <f t="shared" si="44"/>
        <v>2.6017377523976064</v>
      </c>
      <c r="J166" s="4">
        <f t="shared" si="45"/>
        <v>0.11011229815022268</v>
      </c>
      <c r="K166" s="5">
        <f t="shared" si="46"/>
        <v>5.496004145869132</v>
      </c>
    </row>
    <row r="167" spans="1:11" x14ac:dyDescent="0.3">
      <c r="B167" s="2" t="s">
        <v>25</v>
      </c>
      <c r="C167" s="2">
        <v>2021</v>
      </c>
      <c r="D167" s="9">
        <v>7911</v>
      </c>
      <c r="E167" s="9">
        <v>79839</v>
      </c>
      <c r="F167" s="10">
        <v>101553</v>
      </c>
      <c r="G167" s="10">
        <v>46764</v>
      </c>
      <c r="H167" s="5">
        <v>32.727949693860666</v>
      </c>
      <c r="I167" s="4">
        <f t="shared" si="44"/>
        <v>2.1716063638696435</v>
      </c>
      <c r="J167" s="4">
        <f t="shared" si="45"/>
        <v>0.16916859122401848</v>
      </c>
      <c r="K167" s="5">
        <f t="shared" si="46"/>
        <v>9.9086912411227601</v>
      </c>
    </row>
    <row r="168" spans="1:11" x14ac:dyDescent="0.3">
      <c r="B168" s="2" t="s">
        <v>25</v>
      </c>
      <c r="C168" s="2">
        <v>2022</v>
      </c>
      <c r="D168" s="9">
        <v>20665</v>
      </c>
      <c r="E168" s="9">
        <v>146371</v>
      </c>
      <c r="F168" s="10">
        <v>129188</v>
      </c>
      <c r="G168" s="10">
        <v>67297</v>
      </c>
      <c r="H168" s="5">
        <v>85.49147774284296</v>
      </c>
      <c r="I168" s="4">
        <f t="shared" si="44"/>
        <v>1.9196695246444864</v>
      </c>
      <c r="J168" s="4">
        <f t="shared" si="45"/>
        <v>0.3070716376658692</v>
      </c>
      <c r="K168" s="5">
        <f t="shared" si="46"/>
        <v>14.118233803144065</v>
      </c>
    </row>
    <row r="169" spans="1:11" x14ac:dyDescent="0.3">
      <c r="B169" s="2" t="s">
        <v>25</v>
      </c>
      <c r="C169" s="2">
        <v>2023</v>
      </c>
      <c r="D169" s="9">
        <v>4144</v>
      </c>
      <c r="E169" s="9">
        <v>165960</v>
      </c>
      <c r="F169" s="10">
        <v>144844</v>
      </c>
      <c r="G169" s="10">
        <v>65695</v>
      </c>
      <c r="H169" s="5">
        <v>17.143802746979976</v>
      </c>
      <c r="I169" s="4">
        <f t="shared" si="44"/>
        <v>2.2047948854555139</v>
      </c>
      <c r="J169" s="4">
        <f t="shared" si="45"/>
        <v>6.3079381992541289E-2</v>
      </c>
      <c r="K169" s="5">
        <f t="shared" si="46"/>
        <v>2.4969872258375512</v>
      </c>
    </row>
    <row r="170" spans="1:11" x14ac:dyDescent="0.3">
      <c r="B170" s="2" t="s">
        <v>25</v>
      </c>
      <c r="C170" s="2">
        <v>2024</v>
      </c>
      <c r="D170" s="9">
        <v>8812</v>
      </c>
      <c r="E170" s="9">
        <v>175006</v>
      </c>
      <c r="F170" s="10">
        <v>150229</v>
      </c>
      <c r="G170" s="10">
        <v>77669</v>
      </c>
      <c r="H170" s="5">
        <v>36.033530975260682</v>
      </c>
      <c r="I170" s="4">
        <f t="shared" si="44"/>
        <v>1.9342208603175013</v>
      </c>
      <c r="J170" s="4">
        <f t="shared" si="45"/>
        <v>0.11345581892389499</v>
      </c>
      <c r="K170" s="5">
        <f t="shared" si="46"/>
        <v>5.0352559340822598</v>
      </c>
    </row>
    <row r="171" spans="1:11" x14ac:dyDescent="0.3">
      <c r="B171" s="2" t="s">
        <v>25</v>
      </c>
      <c r="C171" s="2">
        <v>2025</v>
      </c>
      <c r="D171" s="2">
        <v>3504</v>
      </c>
      <c r="E171" s="2">
        <v>168824</v>
      </c>
      <c r="F171">
        <v>160949</v>
      </c>
      <c r="G171">
        <v>79496</v>
      </c>
      <c r="H171" s="5">
        <v>14.328358208955223</v>
      </c>
      <c r="I171" s="4">
        <f t="shared" si="44"/>
        <v>2.0246175908221797</v>
      </c>
      <c r="J171" s="4">
        <f t="shared" si="45"/>
        <v>4.4077689443494016E-2</v>
      </c>
      <c r="K171" s="5">
        <f t="shared" si="46"/>
        <v>2.0755342842249918</v>
      </c>
    </row>
    <row r="172" spans="1:11" x14ac:dyDescent="0.3">
      <c r="A172">
        <v>18</v>
      </c>
      <c r="B172" s="2" t="s">
        <v>26</v>
      </c>
      <c r="C172" s="2">
        <v>2016</v>
      </c>
      <c r="D172" s="10" cm="1">
        <f t="array" ref="D172:D181">TRANSPOSE('[1]Profit &amp; Loss'!B12:K12)</f>
        <v>0</v>
      </c>
      <c r="E172" s="9">
        <v>25153.24</v>
      </c>
      <c r="F172" s="10">
        <f>'[1]Balance Sheet'!M15+'[1]Balance Sheet'!N15</f>
        <v>0</v>
      </c>
      <c r="G172" s="10">
        <f>'[1]Balance Sheet'!M4+'[1]Balance Sheet'!N4</f>
        <v>0</v>
      </c>
      <c r="H172" cm="1">
        <f t="array" ref="H172:H181">TRANSPOSE('[1]Profit &amp; Loss'!B11:K11)</f>
        <v>0</v>
      </c>
      <c r="I172" s="4" t="e">
        <f>F172/G172</f>
        <v>#DIV/0!</v>
      </c>
      <c r="J172" s="4" t="e">
        <f>D172/G172</f>
        <v>#DIV/0!</v>
      </c>
      <c r="K172" s="5">
        <f>(D172/E172)*100</f>
        <v>0</v>
      </c>
    </row>
    <row r="173" spans="1:11" x14ac:dyDescent="0.3">
      <c r="B173" s="2" t="s">
        <v>26</v>
      </c>
      <c r="C173" s="2">
        <v>2017</v>
      </c>
      <c r="D173" s="10">
        <v>0</v>
      </c>
      <c r="E173" s="9">
        <v>25374.94</v>
      </c>
      <c r="F173" s="10">
        <f>'[1]Balance Sheet'!M16+'[1]Balance Sheet'!N16</f>
        <v>0</v>
      </c>
      <c r="G173" s="10">
        <f>'[1]Balance Sheet'!M5+'[1]Balance Sheet'!N5</f>
        <v>0</v>
      </c>
      <c r="H173">
        <v>0</v>
      </c>
      <c r="I173" s="4" t="e">
        <f t="shared" ref="I173:I181" si="47">F173/G173</f>
        <v>#DIV/0!</v>
      </c>
      <c r="J173" s="4" t="e">
        <f t="shared" ref="J173:J181" si="48">D173/G173</f>
        <v>#DIV/0!</v>
      </c>
      <c r="K173" s="5">
        <f t="shared" ref="K173:K181" si="49">(D173/E173)*100</f>
        <v>0</v>
      </c>
    </row>
    <row r="174" spans="1:11" x14ac:dyDescent="0.3">
      <c r="B174" s="2" t="s">
        <v>26</v>
      </c>
      <c r="C174" s="2">
        <v>2018</v>
      </c>
      <c r="D174" s="10">
        <v>0</v>
      </c>
      <c r="E174" s="9">
        <v>30978.62</v>
      </c>
      <c r="F174" s="10">
        <f>'[1]Balance Sheet'!M17+'[1]Balance Sheet'!N17</f>
        <v>0</v>
      </c>
      <c r="G174" s="10">
        <f>'[1]Balance Sheet'!M6+'[1]Balance Sheet'!N6</f>
        <v>0</v>
      </c>
      <c r="H174">
        <v>0</v>
      </c>
      <c r="I174" s="4" t="e">
        <f t="shared" si="47"/>
        <v>#DIV/0!</v>
      </c>
      <c r="J174" s="4" t="e">
        <f t="shared" si="48"/>
        <v>#DIV/0!</v>
      </c>
      <c r="K174" s="5">
        <f t="shared" si="49"/>
        <v>0</v>
      </c>
    </row>
    <row r="175" spans="1:11" x14ac:dyDescent="0.3">
      <c r="B175" s="2" t="s">
        <v>26</v>
      </c>
      <c r="C175" s="2">
        <v>2019</v>
      </c>
      <c r="D175" s="10">
        <v>0</v>
      </c>
      <c r="E175" s="9">
        <v>41462.26</v>
      </c>
      <c r="F175" s="10">
        <f>'[1]Balance Sheet'!M18+'[1]Balance Sheet'!N18</f>
        <v>0</v>
      </c>
      <c r="G175" s="10">
        <f>'[1]Balance Sheet'!M7+'[1]Balance Sheet'!N7</f>
        <v>0</v>
      </c>
      <c r="H175">
        <v>0</v>
      </c>
      <c r="I175" s="4" t="e">
        <f t="shared" si="47"/>
        <v>#DIV/0!</v>
      </c>
      <c r="J175" s="4" t="e">
        <f t="shared" si="48"/>
        <v>#DIV/0!</v>
      </c>
      <c r="K175" s="5">
        <f t="shared" si="49"/>
        <v>0</v>
      </c>
    </row>
    <row r="176" spans="1:11" x14ac:dyDescent="0.3">
      <c r="B176" s="2" t="s">
        <v>26</v>
      </c>
      <c r="C176" s="2">
        <v>2020</v>
      </c>
      <c r="D176" s="10">
        <v>0</v>
      </c>
      <c r="E176" s="9">
        <v>42429.89</v>
      </c>
      <c r="F176" s="10">
        <f>'[1]Balance Sheet'!M19+'[1]Balance Sheet'!N19</f>
        <v>0</v>
      </c>
      <c r="G176" s="10">
        <f>'[1]Balance Sheet'!M8+'[1]Balance Sheet'!N8</f>
        <v>0</v>
      </c>
      <c r="H176">
        <v>0</v>
      </c>
      <c r="I176" s="4" t="e">
        <f t="shared" si="47"/>
        <v>#DIV/0!</v>
      </c>
      <c r="J176" s="4" t="e">
        <f t="shared" si="48"/>
        <v>#DIV/0!</v>
      </c>
      <c r="K176" s="5">
        <f t="shared" si="49"/>
        <v>0</v>
      </c>
    </row>
    <row r="177" spans="1:11" x14ac:dyDescent="0.3">
      <c r="B177" s="2" t="s">
        <v>26</v>
      </c>
      <c r="C177" s="2">
        <v>2021</v>
      </c>
      <c r="D177" s="10">
        <v>0</v>
      </c>
      <c r="E177" s="9">
        <v>44725.8</v>
      </c>
      <c r="F177" s="10">
        <f>'[1]Balance Sheet'!M20+'[1]Balance Sheet'!N20</f>
        <v>0</v>
      </c>
      <c r="G177" s="10">
        <f>'[1]Balance Sheet'!M9+'[1]Balance Sheet'!N9</f>
        <v>0</v>
      </c>
      <c r="H177">
        <v>0</v>
      </c>
      <c r="I177" s="4" t="e">
        <f t="shared" si="47"/>
        <v>#DIV/0!</v>
      </c>
      <c r="J177" s="4" t="e">
        <f t="shared" si="48"/>
        <v>#DIV/0!</v>
      </c>
      <c r="K177" s="5">
        <f t="shared" si="49"/>
        <v>0</v>
      </c>
    </row>
    <row r="178" spans="1:11" x14ac:dyDescent="0.3">
      <c r="B178" s="2" t="s">
        <v>26</v>
      </c>
      <c r="C178" s="2">
        <v>2022</v>
      </c>
      <c r="D178" s="10">
        <v>0</v>
      </c>
      <c r="E178" s="9">
        <v>52598.83</v>
      </c>
      <c r="F178" s="10">
        <f>'[1]Balance Sheet'!M21+'[1]Balance Sheet'!N21</f>
        <v>0</v>
      </c>
      <c r="G178" s="10">
        <f>'[1]Balance Sheet'!M10+'[1]Balance Sheet'!N10</f>
        <v>0</v>
      </c>
      <c r="H178">
        <v>0</v>
      </c>
      <c r="I178" s="4" t="e">
        <f t="shared" si="47"/>
        <v>#DIV/0!</v>
      </c>
      <c r="J178" s="4" t="e">
        <f t="shared" si="48"/>
        <v>#DIV/0!</v>
      </c>
      <c r="K178" s="5">
        <f t="shared" si="49"/>
        <v>0</v>
      </c>
    </row>
    <row r="179" spans="1:11" x14ac:dyDescent="0.3">
      <c r="B179" s="2" t="s">
        <v>26</v>
      </c>
      <c r="C179" s="2">
        <v>2023</v>
      </c>
      <c r="D179" s="10">
        <v>0</v>
      </c>
      <c r="E179" s="9">
        <v>63239.98</v>
      </c>
      <c r="F179" s="10">
        <f>'[1]Balance Sheet'!M22+'[1]Balance Sheet'!N22</f>
        <v>0</v>
      </c>
      <c r="G179" s="10">
        <f>'[1]Balance Sheet'!M11+'[1]Balance Sheet'!N11</f>
        <v>0</v>
      </c>
      <c r="H179">
        <v>0</v>
      </c>
      <c r="I179" s="4" t="e">
        <f t="shared" si="47"/>
        <v>#DIV/0!</v>
      </c>
      <c r="J179" s="4" t="e">
        <f t="shared" si="48"/>
        <v>#DIV/0!</v>
      </c>
      <c r="K179" s="5">
        <f t="shared" si="49"/>
        <v>0</v>
      </c>
    </row>
    <row r="180" spans="1:11" x14ac:dyDescent="0.3">
      <c r="B180" s="2" t="s">
        <v>26</v>
      </c>
      <c r="C180" s="2">
        <v>2024</v>
      </c>
      <c r="D180" s="10">
        <v>0</v>
      </c>
      <c r="E180" s="9">
        <v>70908.14</v>
      </c>
      <c r="F180" s="10">
        <f>'[1]Balance Sheet'!M23+'[1]Balance Sheet'!N23</f>
        <v>0</v>
      </c>
      <c r="G180" s="10">
        <f>'[1]Balance Sheet'!M12+'[1]Balance Sheet'!N12</f>
        <v>0</v>
      </c>
      <c r="H180">
        <v>0</v>
      </c>
      <c r="I180" s="4" t="e">
        <f t="shared" si="47"/>
        <v>#DIV/0!</v>
      </c>
      <c r="J180" s="4" t="e">
        <f t="shared" si="48"/>
        <v>#DIV/0!</v>
      </c>
      <c r="K180" s="5">
        <f t="shared" si="49"/>
        <v>0</v>
      </c>
    </row>
    <row r="181" spans="1:11" x14ac:dyDescent="0.3">
      <c r="B181" s="2" t="s">
        <v>26</v>
      </c>
      <c r="C181" s="2">
        <v>2025</v>
      </c>
      <c r="D181" s="10">
        <v>0</v>
      </c>
      <c r="E181" s="9">
        <v>75955.13</v>
      </c>
      <c r="F181" s="10">
        <f>'[1]Balance Sheet'!M24+'[1]Balance Sheet'!N24</f>
        <v>0</v>
      </c>
      <c r="G181" s="10">
        <f>'[1]Balance Sheet'!M13+'[1]Balance Sheet'!N13</f>
        <v>0</v>
      </c>
      <c r="H181">
        <v>0</v>
      </c>
      <c r="I181" s="4" t="e">
        <f t="shared" si="47"/>
        <v>#DIV/0!</v>
      </c>
      <c r="J181" s="4" t="e">
        <f t="shared" si="48"/>
        <v>#DIV/0!</v>
      </c>
      <c r="K181" s="5">
        <f t="shared" si="49"/>
        <v>0</v>
      </c>
    </row>
    <row r="182" spans="1:11" x14ac:dyDescent="0.3">
      <c r="A182">
        <v>19</v>
      </c>
      <c r="B182" s="2" t="s">
        <v>27</v>
      </c>
      <c r="C182" s="2">
        <v>2016</v>
      </c>
      <c r="D182" s="9">
        <v>4545.71</v>
      </c>
      <c r="E182" s="9">
        <v>28487.03</v>
      </c>
      <c r="F182" s="10">
        <f>'[2]Balance Sheet'!M15+'[2]Balance Sheet'!N15</f>
        <v>0</v>
      </c>
      <c r="G182" s="10">
        <f>'[2]Balance Sheet'!M4+'[2]Balance Sheet'!N4</f>
        <v>0</v>
      </c>
      <c r="H182" s="5">
        <v>18.887730086840904</v>
      </c>
      <c r="I182" s="4" t="e">
        <f>F182/G182</f>
        <v>#DIV/0!</v>
      </c>
      <c r="J182" s="4" t="e">
        <f>D182/G182</f>
        <v>#DIV/0!</v>
      </c>
      <c r="K182" s="5">
        <f>(D182/E182)*100</f>
        <v>15.957121539170634</v>
      </c>
    </row>
    <row r="183" spans="1:11" x14ac:dyDescent="0.3">
      <c r="B183" s="2" t="s">
        <v>27</v>
      </c>
      <c r="C183" s="2">
        <v>2017</v>
      </c>
      <c r="D183" s="9">
        <v>6964.37</v>
      </c>
      <c r="E183" s="9">
        <v>31578.44</v>
      </c>
      <c r="F183" s="10">
        <f>'[2]Balance Sheet'!M16+'[2]Balance Sheet'!N16</f>
        <v>0</v>
      </c>
      <c r="G183" s="10">
        <f>'[2]Balance Sheet'!M5+'[2]Balance Sheet'!N5</f>
        <v>0</v>
      </c>
      <c r="H183" s="5">
        <v>29.026674446713624</v>
      </c>
      <c r="I183" s="4" t="e">
        <f t="shared" ref="I183:I191" si="50">F183/G183</f>
        <v>#DIV/0!</v>
      </c>
      <c r="J183" s="4" t="e">
        <f t="shared" ref="J183:J191" si="51">D183/G183</f>
        <v>#DIV/0!</v>
      </c>
      <c r="K183" s="5">
        <f t="shared" ref="K183:K191" si="52">(D183/E183)*100</f>
        <v>22.054192670695578</v>
      </c>
    </row>
    <row r="184" spans="1:11" x14ac:dyDescent="0.3">
      <c r="B184" s="2" t="s">
        <v>27</v>
      </c>
      <c r="C184" s="2">
        <v>2018</v>
      </c>
      <c r="D184" s="10">
        <v>2095.6999999999998</v>
      </c>
      <c r="E184" s="10">
        <v>26489.46</v>
      </c>
      <c r="F184" s="10">
        <f>'[2]Balance Sheet'!M17+'[2]Balance Sheet'!N17</f>
        <v>0</v>
      </c>
      <c r="G184" s="10">
        <f>'[2]Balance Sheet'!M6+'[2]Balance Sheet'!N6</f>
        <v>0</v>
      </c>
      <c r="H184" s="5">
        <v>8.7346309340224231</v>
      </c>
      <c r="I184" s="4" t="e">
        <f t="shared" si="50"/>
        <v>#DIV/0!</v>
      </c>
      <c r="J184" s="4" t="e">
        <f t="shared" si="51"/>
        <v>#DIV/0!</v>
      </c>
      <c r="K184" s="5">
        <f t="shared" si="52"/>
        <v>7.9114485535001462</v>
      </c>
    </row>
    <row r="185" spans="1:11" x14ac:dyDescent="0.3">
      <c r="B185" s="2" t="s">
        <v>27</v>
      </c>
      <c r="C185" s="2">
        <v>2019</v>
      </c>
      <c r="D185" s="10">
        <v>2665.42</v>
      </c>
      <c r="E185" s="10">
        <v>29065.91</v>
      </c>
      <c r="F185" s="10">
        <f>'[2]Balance Sheet'!M18+'[2]Balance Sheet'!N18</f>
        <v>0</v>
      </c>
      <c r="G185" s="10">
        <f>'[2]Balance Sheet'!M7+'[2]Balance Sheet'!N7</f>
        <v>0</v>
      </c>
      <c r="H185" s="5">
        <v>11.109156837410911</v>
      </c>
      <c r="I185" s="4" t="e">
        <f t="shared" si="50"/>
        <v>#DIV/0!</v>
      </c>
      <c r="J185" s="4" t="e">
        <f t="shared" si="51"/>
        <v>#DIV/0!</v>
      </c>
      <c r="K185" s="5">
        <f t="shared" si="52"/>
        <v>9.1702616570408431</v>
      </c>
    </row>
    <row r="186" spans="1:11" x14ac:dyDescent="0.3">
      <c r="B186" s="2" t="s">
        <v>27</v>
      </c>
      <c r="C186" s="2">
        <v>2020</v>
      </c>
      <c r="D186" s="10">
        <v>3764.93</v>
      </c>
      <c r="E186" s="10">
        <v>32837.5</v>
      </c>
      <c r="F186" s="10">
        <f>'[2]Balance Sheet'!M19+'[2]Balance Sheet'!N19</f>
        <v>0</v>
      </c>
      <c r="G186" s="10">
        <f>'[2]Balance Sheet'!M8+'[2]Balance Sheet'!N8</f>
        <v>0</v>
      </c>
      <c r="H186" s="5">
        <v>15.691785103988662</v>
      </c>
      <c r="I186" s="4" t="e">
        <f t="shared" si="50"/>
        <v>#DIV/0!</v>
      </c>
      <c r="J186" s="4" t="e">
        <f t="shared" si="51"/>
        <v>#DIV/0!</v>
      </c>
      <c r="K186" s="5">
        <f t="shared" si="52"/>
        <v>11.465336886181957</v>
      </c>
    </row>
    <row r="187" spans="1:11" x14ac:dyDescent="0.3">
      <c r="B187" s="2" t="s">
        <v>27</v>
      </c>
      <c r="C187" s="2">
        <v>2021</v>
      </c>
      <c r="D187" s="10">
        <v>2903.82</v>
      </c>
      <c r="E187" s="10">
        <v>33498.14</v>
      </c>
      <c r="F187" s="10">
        <f>'[2]Balance Sheet'!M20+'[2]Balance Sheet'!N20</f>
        <v>0</v>
      </c>
      <c r="G187" s="10">
        <f>'[2]Balance Sheet'!M9+'[2]Balance Sheet'!N9</f>
        <v>0</v>
      </c>
      <c r="H187" s="5">
        <v>12.102779977493435</v>
      </c>
      <c r="I187" s="4" t="e">
        <f t="shared" si="50"/>
        <v>#DIV/0!</v>
      </c>
      <c r="J187" s="4" t="e">
        <f t="shared" si="51"/>
        <v>#DIV/0!</v>
      </c>
      <c r="K187" s="5">
        <f t="shared" si="52"/>
        <v>8.6686007043973188</v>
      </c>
    </row>
    <row r="188" spans="1:11" x14ac:dyDescent="0.3">
      <c r="B188" s="2" t="s">
        <v>27</v>
      </c>
      <c r="C188" s="2">
        <v>2022</v>
      </c>
      <c r="D188" s="10">
        <v>3272.73</v>
      </c>
      <c r="E188" s="10">
        <v>38654.49</v>
      </c>
      <c r="F188" s="10">
        <f>'[2]Balance Sheet'!M21+'[2]Balance Sheet'!N21</f>
        <v>0</v>
      </c>
      <c r="G188" s="10">
        <f>'[2]Balance Sheet'!M10+'[2]Balance Sheet'!N10</f>
        <v>0</v>
      </c>
      <c r="H188" s="5">
        <v>13.640353436418955</v>
      </c>
      <c r="I188" s="4" t="e">
        <f t="shared" si="50"/>
        <v>#DIV/0!</v>
      </c>
      <c r="J188" s="4" t="e">
        <f t="shared" si="51"/>
        <v>#DIV/0!</v>
      </c>
      <c r="K188" s="5">
        <f t="shared" si="52"/>
        <v>8.4666231529636029</v>
      </c>
    </row>
    <row r="189" spans="1:11" x14ac:dyDescent="0.3">
      <c r="B189" s="2" t="s">
        <v>27</v>
      </c>
      <c r="C189" s="2">
        <v>2023</v>
      </c>
      <c r="D189" s="10">
        <v>8473.58</v>
      </c>
      <c r="E189" s="10">
        <v>43885.68</v>
      </c>
      <c r="F189" s="10">
        <f>'[2]Balance Sheet'!M22+'[2]Balance Sheet'!N22</f>
        <v>0</v>
      </c>
      <c r="G189" s="10">
        <f>'[2]Balance Sheet'!M11+'[2]Balance Sheet'!N11</f>
        <v>0</v>
      </c>
      <c r="H189" s="5">
        <v>35.316884091193266</v>
      </c>
      <c r="I189" s="4" t="e">
        <f t="shared" si="50"/>
        <v>#DIV/0!</v>
      </c>
      <c r="J189" s="4" t="e">
        <f t="shared" si="51"/>
        <v>#DIV/0!</v>
      </c>
      <c r="K189" s="5">
        <f t="shared" si="52"/>
        <v>19.308302845028262</v>
      </c>
    </row>
    <row r="190" spans="1:11" x14ac:dyDescent="0.3">
      <c r="B190" s="2" t="s">
        <v>27</v>
      </c>
      <c r="C190" s="2">
        <v>2024</v>
      </c>
      <c r="D190" s="10">
        <v>9576.3799999999992</v>
      </c>
      <c r="E190" s="10">
        <v>48496.85</v>
      </c>
      <c r="F190" s="10">
        <f>'[2]Balance Sheet'!M23+'[2]Balance Sheet'!N23</f>
        <v>0</v>
      </c>
      <c r="G190" s="10">
        <f>'[2]Balance Sheet'!M12+'[2]Balance Sheet'!N12</f>
        <v>0</v>
      </c>
      <c r="H190" s="5">
        <v>39.913224690534733</v>
      </c>
      <c r="I190" s="4" t="e">
        <f t="shared" si="50"/>
        <v>#DIV/0!</v>
      </c>
      <c r="J190" s="4" t="e">
        <f t="shared" si="51"/>
        <v>#DIV/0!</v>
      </c>
      <c r="K190" s="5">
        <f t="shared" si="52"/>
        <v>19.746395899939891</v>
      </c>
    </row>
    <row r="191" spans="1:11" x14ac:dyDescent="0.3">
      <c r="B191" s="2" t="s">
        <v>27</v>
      </c>
      <c r="C191" s="2">
        <v>2025</v>
      </c>
      <c r="D191" s="10">
        <v>10929.04</v>
      </c>
      <c r="E191" s="10">
        <v>52578.44</v>
      </c>
      <c r="F191" s="10">
        <f>'[2]Balance Sheet'!M24+'[2]Balance Sheet'!N24</f>
        <v>0</v>
      </c>
      <c r="G191" s="10">
        <f>'[2]Balance Sheet'!M13+'[2]Balance Sheet'!N13</f>
        <v>0</v>
      </c>
      <c r="H191" s="5">
        <v>45.550952361105324</v>
      </c>
      <c r="I191" s="4" t="e">
        <f t="shared" si="50"/>
        <v>#DIV/0!</v>
      </c>
      <c r="J191" s="4" t="e">
        <f t="shared" si="51"/>
        <v>#DIV/0!</v>
      </c>
      <c r="K191" s="5">
        <f t="shared" si="52"/>
        <v>20.786162541148045</v>
      </c>
    </row>
    <row r="192" spans="1:11" x14ac:dyDescent="0.3">
      <c r="A192">
        <v>20</v>
      </c>
      <c r="B192" s="2" t="s">
        <v>28</v>
      </c>
      <c r="C192" s="2">
        <v>2016</v>
      </c>
      <c r="D192" s="10">
        <v>2130.6</v>
      </c>
      <c r="E192" s="10">
        <v>15568.3</v>
      </c>
      <c r="F192" s="10">
        <f>'[3]Balance Sheet'!P7+'[3]Balance Sheet'!Q7</f>
        <v>0</v>
      </c>
      <c r="G192" s="10">
        <f>'[3]Balance Sheet'!M5+'[3]Balance Sheet'!N5</f>
        <v>0</v>
      </c>
      <c r="H192" s="5">
        <v>24.977725674091442</v>
      </c>
      <c r="I192" s="4" t="e">
        <f>F192/G192</f>
        <v>#DIV/0!</v>
      </c>
      <c r="J192" s="4" t="e">
        <f>D192/G192</f>
        <v>#DIV/0!</v>
      </c>
      <c r="K192" s="5">
        <f>(D192/E192)*100</f>
        <v>13.685501949474252</v>
      </c>
    </row>
    <row r="193" spans="2:11" x14ac:dyDescent="0.3">
      <c r="B193" s="2" t="s">
        <v>28</v>
      </c>
      <c r="C193" s="2">
        <v>2017</v>
      </c>
      <c r="D193" s="10">
        <v>1292.0999999999999</v>
      </c>
      <c r="E193" s="10">
        <v>14196.1</v>
      </c>
      <c r="F193" s="10">
        <f>'[3]Balance Sheet'!P8+'[3]Balance Sheet'!Q8</f>
        <v>0</v>
      </c>
      <c r="G193" s="10">
        <f>'[3]Balance Sheet'!M6+'[3]Balance Sheet'!N6</f>
        <v>0</v>
      </c>
      <c r="H193" s="5">
        <v>15.591890913478942</v>
      </c>
      <c r="I193" s="4" t="e">
        <f t="shared" ref="I193:I201" si="53">F193/G193</f>
        <v>#DIV/0!</v>
      </c>
      <c r="J193" s="4" t="e">
        <f t="shared" ref="J193:J201" si="54">D193/G193</f>
        <v>#DIV/0!</v>
      </c>
      <c r="K193" s="5">
        <f t="shared" ref="K193:K201" si="55">(D193/E193)*100</f>
        <v>9.1017955635702759</v>
      </c>
    </row>
    <row r="194" spans="2:11" x14ac:dyDescent="0.3">
      <c r="B194" s="2" t="s">
        <v>28</v>
      </c>
      <c r="C194" s="2">
        <v>2018</v>
      </c>
      <c r="D194" s="10">
        <v>946.8</v>
      </c>
      <c r="E194" s="10">
        <v>14281</v>
      </c>
      <c r="F194" s="10">
        <f>'[3]Balance Sheet'!P9+'[3]Balance Sheet'!Q9</f>
        <v>0</v>
      </c>
      <c r="G194" s="10">
        <f>'[3]Balance Sheet'!M7+'[3]Balance Sheet'!N7</f>
        <v>0</v>
      </c>
      <c r="H194" s="5">
        <v>11.412729026036644</v>
      </c>
      <c r="I194" s="4" t="e">
        <f t="shared" si="53"/>
        <v>#DIV/0!</v>
      </c>
      <c r="J194" s="4" t="e">
        <f t="shared" si="54"/>
        <v>#DIV/0!</v>
      </c>
      <c r="K194" s="5">
        <f t="shared" si="55"/>
        <v>6.6297878299838953</v>
      </c>
    </row>
    <row r="195" spans="2:11" x14ac:dyDescent="0.3">
      <c r="B195" s="2" t="s">
        <v>28</v>
      </c>
      <c r="C195" s="2">
        <v>2019</v>
      </c>
      <c r="D195" s="10">
        <v>1950</v>
      </c>
      <c r="E195" s="10">
        <v>15448.2</v>
      </c>
      <c r="F195" s="10">
        <f>'[3]Balance Sheet'!P10+'[3]Balance Sheet'!Q10</f>
        <v>0</v>
      </c>
      <c r="G195" s="10">
        <f>'[3]Balance Sheet'!M8+'[3]Balance Sheet'!N8</f>
        <v>0</v>
      </c>
      <c r="H195" s="5">
        <v>23.485487173310851</v>
      </c>
      <c r="I195" s="4" t="e">
        <f t="shared" si="53"/>
        <v>#DIV/0!</v>
      </c>
      <c r="J195" s="4" t="e">
        <f t="shared" si="54"/>
        <v>#DIV/0!</v>
      </c>
      <c r="K195" s="5">
        <f t="shared" si="55"/>
        <v>12.622829844253699</v>
      </c>
    </row>
    <row r="196" spans="2:11" x14ac:dyDescent="0.3">
      <c r="B196" s="2" t="s">
        <v>28</v>
      </c>
      <c r="C196" s="2">
        <v>2020</v>
      </c>
      <c r="D196" s="10">
        <v>2026</v>
      </c>
      <c r="E196" s="10">
        <v>17517</v>
      </c>
      <c r="F196" s="10">
        <f>'[3]Balance Sheet'!P11+'[3]Balance Sheet'!Q11</f>
        <v>0</v>
      </c>
      <c r="G196" s="10">
        <f>'[3]Balance Sheet'!M9+'[3]Balance Sheet'!N9</f>
        <v>0</v>
      </c>
      <c r="H196" s="5">
        <v>24.383198940907448</v>
      </c>
      <c r="I196" s="4" t="e">
        <f t="shared" si="53"/>
        <v>#DIV/0!</v>
      </c>
      <c r="J196" s="4" t="e">
        <f t="shared" si="54"/>
        <v>#DIV/0!</v>
      </c>
      <c r="K196" s="5">
        <f t="shared" si="55"/>
        <v>11.565907404235885</v>
      </c>
    </row>
    <row r="197" spans="2:11" x14ac:dyDescent="0.3">
      <c r="B197" s="2" t="s">
        <v>28</v>
      </c>
      <c r="C197" s="2">
        <v>2021</v>
      </c>
      <c r="D197" s="10">
        <v>1951.6</v>
      </c>
      <c r="E197" s="10">
        <v>19047.5</v>
      </c>
      <c r="F197" s="10">
        <f>'[3]Balance Sheet'!P12+'[3]Balance Sheet'!Q12</f>
        <v>0</v>
      </c>
      <c r="G197" s="10">
        <f>'[3]Balance Sheet'!M10+'[3]Balance Sheet'!N10</f>
        <v>0</v>
      </c>
      <c r="H197" s="5">
        <v>23.470835838845456</v>
      </c>
      <c r="I197" s="4" t="e">
        <f t="shared" si="53"/>
        <v>#DIV/0!</v>
      </c>
      <c r="J197" s="4" t="e">
        <f t="shared" si="54"/>
        <v>#DIV/0!</v>
      </c>
      <c r="K197" s="5">
        <f t="shared" si="55"/>
        <v>10.245964037275233</v>
      </c>
    </row>
    <row r="198" spans="2:11" x14ac:dyDescent="0.3">
      <c r="B198" s="2" t="s">
        <v>28</v>
      </c>
      <c r="C198" s="2">
        <v>2022</v>
      </c>
      <c r="D198" s="10">
        <v>2182.5</v>
      </c>
      <c r="E198" s="10">
        <v>21545.200000000001</v>
      </c>
      <c r="F198" s="10">
        <f>'[3]Balance Sheet'!P13+'[3]Balance Sheet'!Q13</f>
        <v>0</v>
      </c>
      <c r="G198" s="10">
        <f>'[3]Balance Sheet'!M11+'[3]Balance Sheet'!N11</f>
        <v>0</v>
      </c>
      <c r="H198" s="5">
        <v>26.228818651604378</v>
      </c>
      <c r="I198" s="4" t="e">
        <f t="shared" si="53"/>
        <v>#DIV/0!</v>
      </c>
      <c r="J198" s="4" t="e">
        <f t="shared" si="54"/>
        <v>#DIV/0!</v>
      </c>
      <c r="K198" s="5">
        <f t="shared" si="55"/>
        <v>10.129866513190873</v>
      </c>
    </row>
    <row r="199" spans="2:11" x14ac:dyDescent="0.3">
      <c r="B199" s="2" t="s">
        <v>28</v>
      </c>
      <c r="C199" s="2">
        <v>2023</v>
      </c>
      <c r="D199" s="10">
        <v>4507.3</v>
      </c>
      <c r="E199" s="10">
        <v>24669.7</v>
      </c>
      <c r="F199" s="10">
        <f>'[3]Balance Sheet'!P14+'[3]Balance Sheet'!Q14</f>
        <v>0</v>
      </c>
      <c r="G199" s="10">
        <f>'[3]Balance Sheet'!M12+'[3]Balance Sheet'!N12</f>
        <v>0</v>
      </c>
      <c r="H199" s="5">
        <v>54.135239010329087</v>
      </c>
      <c r="I199" s="4" t="e">
        <f t="shared" si="53"/>
        <v>#DIV/0!</v>
      </c>
      <c r="J199" s="4" t="e">
        <f t="shared" si="54"/>
        <v>#DIV/0!</v>
      </c>
      <c r="K199" s="5">
        <f t="shared" si="55"/>
        <v>18.270591048938574</v>
      </c>
    </row>
    <row r="200" spans="2:11" x14ac:dyDescent="0.3">
      <c r="B200" s="2" t="s">
        <v>28</v>
      </c>
      <c r="C200" s="2">
        <v>2024</v>
      </c>
      <c r="D200" s="10">
        <v>5577.9</v>
      </c>
      <c r="E200" s="10">
        <v>28011.1</v>
      </c>
      <c r="F200" s="10">
        <f>'[3]Balance Sheet'!P15+'[3]Balance Sheet'!Q15</f>
        <v>0</v>
      </c>
      <c r="G200" s="10">
        <f>'[3]Balance Sheet'!M13+'[3]Balance Sheet'!N13</f>
        <v>0</v>
      </c>
      <c r="H200" s="5">
        <v>66.873276585541305</v>
      </c>
      <c r="I200" s="4" t="e">
        <f t="shared" si="53"/>
        <v>#DIV/0!</v>
      </c>
      <c r="J200" s="4" t="e">
        <f t="shared" si="54"/>
        <v>#DIV/0!</v>
      </c>
      <c r="K200" s="5">
        <f t="shared" si="55"/>
        <v>19.913177276151238</v>
      </c>
    </row>
    <row r="201" spans="2:11" x14ac:dyDescent="0.3">
      <c r="B201" s="2" t="s">
        <v>28</v>
      </c>
      <c r="C201" s="2">
        <v>2025</v>
      </c>
      <c r="D201" s="10">
        <v>5655.1</v>
      </c>
      <c r="E201" s="10">
        <v>32643.9</v>
      </c>
      <c r="F201" s="10">
        <f>'[3]Balance Sheet'!P16+'[3]Balance Sheet'!Q16</f>
        <v>0</v>
      </c>
      <c r="G201" s="10">
        <f>'[3]Balance Sheet'!M14+'[3]Balance Sheet'!N14</f>
        <v>0</v>
      </c>
      <c r="H201" s="5">
        <v>67.766327142001202</v>
      </c>
      <c r="I201" s="4" t="e">
        <f t="shared" si="53"/>
        <v>#DIV/0!</v>
      </c>
      <c r="J201" s="4" t="e">
        <f t="shared" si="54"/>
        <v>#DIV/0!</v>
      </c>
      <c r="K201" s="5">
        <f t="shared" si="55"/>
        <v>17.323604103676338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95B9-7527-4677-9849-0C85F14AB41B}">
  <dimension ref="A1:AB201"/>
  <sheetViews>
    <sheetView workbookViewId="0">
      <selection activeCell="C1" sqref="C1"/>
    </sheetView>
  </sheetViews>
  <sheetFormatPr defaultRowHeight="14.4" x14ac:dyDescent="0.3"/>
  <cols>
    <col min="3" max="3" width="9.88671875" bestFit="1" customWidth="1"/>
    <col min="4" max="5" width="9.88671875" customWidth="1"/>
    <col min="8" max="8" width="17.44140625" bestFit="1" customWidth="1"/>
    <col min="16" max="16" width="12.109375" bestFit="1" customWidth="1"/>
    <col min="20" max="20" width="17.44140625" bestFit="1" customWidth="1"/>
  </cols>
  <sheetData>
    <row r="1" spans="1:28" x14ac:dyDescent="0.3">
      <c r="A1" s="11" t="s">
        <v>7</v>
      </c>
      <c r="B1" s="1" t="s">
        <v>3</v>
      </c>
      <c r="C1" s="1" t="s">
        <v>4</v>
      </c>
      <c r="D1" s="1" t="s">
        <v>6</v>
      </c>
      <c r="E1" s="1" t="s">
        <v>5</v>
      </c>
      <c r="F1" s="11" t="s">
        <v>55</v>
      </c>
    </row>
    <row r="2" spans="1:28" x14ac:dyDescent="0.3">
      <c r="A2" s="4">
        <v>0.2184665716506867</v>
      </c>
      <c r="B2">
        <v>62441</v>
      </c>
      <c r="C2" s="6">
        <v>61744</v>
      </c>
      <c r="D2" s="4">
        <v>0</v>
      </c>
      <c r="E2" s="4">
        <v>29.36</v>
      </c>
      <c r="F2" s="5">
        <v>21.602793036626576</v>
      </c>
      <c r="G2" s="5"/>
      <c r="H2" s="5" t="s">
        <v>29</v>
      </c>
      <c r="I2" s="5"/>
      <c r="J2" s="5"/>
      <c r="K2" s="5"/>
      <c r="L2" s="5"/>
      <c r="M2" s="5"/>
      <c r="N2" s="5"/>
      <c r="O2" s="5"/>
      <c r="P2" s="5"/>
      <c r="T2" s="5" t="s">
        <v>29</v>
      </c>
      <c r="U2" s="5"/>
      <c r="V2" s="5"/>
      <c r="W2" s="5"/>
      <c r="X2" s="5"/>
      <c r="Y2" s="5"/>
      <c r="Z2" s="5"/>
      <c r="AA2" s="5"/>
      <c r="AB2" s="5"/>
    </row>
    <row r="3" spans="1:28" ht="15" thickBot="1" x14ac:dyDescent="0.35">
      <c r="A3" s="4">
        <v>0.20806877156359629</v>
      </c>
      <c r="B3" s="3">
        <v>68484</v>
      </c>
      <c r="C3" s="6">
        <v>68982</v>
      </c>
      <c r="D3" s="4">
        <v>0</v>
      </c>
      <c r="E3" s="4">
        <v>31.24</v>
      </c>
      <c r="F3" s="5">
        <v>20.958180012849716</v>
      </c>
      <c r="G3" s="5"/>
      <c r="H3" s="5"/>
      <c r="I3" s="5"/>
      <c r="J3" s="5"/>
      <c r="K3" s="5"/>
      <c r="L3" s="5"/>
      <c r="M3" s="5"/>
      <c r="N3" s="5"/>
      <c r="O3" s="5"/>
      <c r="P3" s="5"/>
      <c r="T3" s="5"/>
      <c r="U3" s="5"/>
      <c r="V3" s="5"/>
      <c r="W3" s="5"/>
      <c r="X3" s="5"/>
      <c r="Y3" s="5"/>
      <c r="Z3" s="5"/>
      <c r="AA3" s="5"/>
      <c r="AB3" s="5"/>
    </row>
    <row r="4" spans="1:28" x14ac:dyDescent="0.3">
      <c r="A4" s="4">
        <v>0.24689247262141306</v>
      </c>
      <c r="B4" s="3">
        <v>70522</v>
      </c>
      <c r="C4" s="6">
        <v>64923</v>
      </c>
      <c r="D4" s="4">
        <v>0</v>
      </c>
      <c r="E4" s="4">
        <v>36.69</v>
      </c>
      <c r="F4" s="5">
        <v>22.729077451008195</v>
      </c>
      <c r="G4" s="5"/>
      <c r="H4" s="12" t="s">
        <v>30</v>
      </c>
      <c r="I4" s="12"/>
      <c r="J4" s="5"/>
      <c r="K4" s="5"/>
      <c r="L4" s="5"/>
      <c r="M4" s="5"/>
      <c r="N4" s="5"/>
      <c r="O4" s="5"/>
      <c r="P4" s="5"/>
      <c r="T4" s="12" t="s">
        <v>30</v>
      </c>
      <c r="U4" s="12"/>
      <c r="V4" s="5"/>
      <c r="W4" s="5"/>
      <c r="X4" s="5"/>
      <c r="Y4" s="5"/>
      <c r="Z4" s="5"/>
      <c r="AA4" s="5"/>
      <c r="AB4" s="5"/>
    </row>
    <row r="5" spans="1:28" x14ac:dyDescent="0.3">
      <c r="A5" s="4">
        <v>0.23717435486851018</v>
      </c>
      <c r="B5" s="3">
        <v>82675</v>
      </c>
      <c r="C5" s="6">
        <v>64948</v>
      </c>
      <c r="D5" s="4">
        <v>0</v>
      </c>
      <c r="E5" s="4">
        <v>35.26</v>
      </c>
      <c r="F5" s="5">
        <v>18.63199274266707</v>
      </c>
      <c r="G5" s="5"/>
      <c r="H5" s="5" t="s">
        <v>31</v>
      </c>
      <c r="I5" s="5">
        <v>0.245496806353801</v>
      </c>
      <c r="J5" s="5"/>
      <c r="K5" s="5"/>
      <c r="L5" s="5"/>
      <c r="M5" s="5"/>
      <c r="N5" s="5"/>
      <c r="O5" s="5"/>
      <c r="P5" s="5"/>
      <c r="T5" s="5" t="s">
        <v>31</v>
      </c>
      <c r="U5" s="5">
        <v>0.64747035909196649</v>
      </c>
      <c r="V5" s="5"/>
      <c r="W5" s="5"/>
      <c r="X5" s="5"/>
      <c r="Y5" s="5"/>
      <c r="Z5" s="5"/>
      <c r="AA5" s="5"/>
      <c r="AB5" s="5"/>
    </row>
    <row r="6" spans="1:28" x14ac:dyDescent="0.3">
      <c r="A6" s="4">
        <v>0.25353705118411002</v>
      </c>
      <c r="B6" s="3">
        <v>90791</v>
      </c>
      <c r="C6" s="6">
        <v>65450</v>
      </c>
      <c r="D6" s="4">
        <v>0</v>
      </c>
      <c r="E6" s="4">
        <v>38.96</v>
      </c>
      <c r="F6" s="5">
        <v>18.277142007467699</v>
      </c>
      <c r="G6" s="5"/>
      <c r="H6" s="5" t="s">
        <v>32</v>
      </c>
      <c r="I6" s="5">
        <v>6.026868192991567E-2</v>
      </c>
      <c r="J6" s="5"/>
      <c r="K6" s="5"/>
      <c r="L6" s="5"/>
      <c r="M6" s="5"/>
      <c r="N6" s="5"/>
      <c r="O6" s="5"/>
      <c r="P6" s="5"/>
      <c r="T6" s="5" t="s">
        <v>32</v>
      </c>
      <c r="U6" s="5">
        <v>0.41921786590268006</v>
      </c>
      <c r="V6" s="5"/>
      <c r="W6" s="5"/>
      <c r="X6" s="5"/>
      <c r="Y6" s="5"/>
      <c r="Z6" s="5"/>
      <c r="AA6" s="5"/>
      <c r="AB6" s="5"/>
    </row>
    <row r="7" spans="1:28" x14ac:dyDescent="0.3">
      <c r="A7" s="4">
        <v>0.2534478919726002</v>
      </c>
      <c r="B7" s="3">
        <v>100472</v>
      </c>
      <c r="C7" s="6">
        <v>76351</v>
      </c>
      <c r="D7" s="4">
        <v>0</v>
      </c>
      <c r="E7" s="4">
        <v>45.42</v>
      </c>
      <c r="F7" s="5">
        <v>19.260092364041721</v>
      </c>
      <c r="G7" s="5"/>
      <c r="H7" s="5" t="s">
        <v>33</v>
      </c>
      <c r="I7" s="5">
        <v>5.0728262457122933E-2</v>
      </c>
      <c r="J7" s="5"/>
      <c r="K7" s="5"/>
      <c r="L7" s="5"/>
      <c r="M7" s="5"/>
      <c r="N7" s="5"/>
      <c r="O7" s="5"/>
      <c r="P7" s="5"/>
      <c r="T7" s="5" t="s">
        <v>33</v>
      </c>
      <c r="U7" s="5">
        <v>0.40730438622888887</v>
      </c>
      <c r="V7" s="5"/>
      <c r="W7" s="5"/>
      <c r="X7" s="5"/>
      <c r="Y7" s="5"/>
      <c r="Z7" s="5"/>
      <c r="AA7" s="5"/>
      <c r="AB7" s="5"/>
    </row>
    <row r="8" spans="1:28" x14ac:dyDescent="0.3">
      <c r="A8" s="4">
        <v>0.29343065693430659</v>
      </c>
      <c r="B8" s="3">
        <v>121641</v>
      </c>
      <c r="C8" s="6">
        <v>75350</v>
      </c>
      <c r="D8" s="4">
        <v>0</v>
      </c>
      <c r="E8" s="4">
        <v>52.56</v>
      </c>
      <c r="F8" s="5">
        <v>18.176437221002786</v>
      </c>
      <c r="G8" s="5"/>
      <c r="H8" s="5" t="s">
        <v>34</v>
      </c>
      <c r="I8" s="5">
        <v>0.21459641054379788</v>
      </c>
      <c r="J8" s="5"/>
      <c r="K8" s="5"/>
      <c r="L8" s="5"/>
      <c r="M8" s="5"/>
      <c r="N8" s="5"/>
      <c r="O8" s="5"/>
      <c r="P8" s="5"/>
      <c r="T8" s="5" t="s">
        <v>34</v>
      </c>
      <c r="U8" s="5">
        <v>6.1206971369447176</v>
      </c>
      <c r="V8" s="5"/>
      <c r="W8" s="5"/>
      <c r="X8" s="5"/>
      <c r="Y8" s="5"/>
      <c r="Z8" s="5"/>
      <c r="AA8" s="5"/>
      <c r="AB8" s="5"/>
    </row>
    <row r="9" spans="1:28" ht="15" thickBot="1" x14ac:dyDescent="0.35">
      <c r="A9" s="4">
        <v>0.31953266938082669</v>
      </c>
      <c r="B9" s="3">
        <v>146767</v>
      </c>
      <c r="C9" s="6">
        <v>75407</v>
      </c>
      <c r="D9" s="4">
        <v>0</v>
      </c>
      <c r="E9" s="4">
        <v>58.08</v>
      </c>
      <c r="F9" s="5">
        <v>16.417178248516358</v>
      </c>
      <c r="G9" s="5"/>
      <c r="H9" s="13" t="s">
        <v>35</v>
      </c>
      <c r="I9" s="13">
        <v>200</v>
      </c>
      <c r="J9" s="5"/>
      <c r="K9" s="5"/>
      <c r="L9" s="5"/>
      <c r="M9" s="5"/>
      <c r="N9" s="5"/>
      <c r="O9" s="5"/>
      <c r="P9" s="5"/>
      <c r="T9" s="13" t="s">
        <v>35</v>
      </c>
      <c r="U9" s="13">
        <v>200</v>
      </c>
      <c r="V9" s="5"/>
      <c r="W9" s="5"/>
      <c r="X9" s="5"/>
      <c r="Y9" s="5"/>
      <c r="Z9" s="5"/>
      <c r="AA9" s="5"/>
      <c r="AB9" s="5"/>
    </row>
    <row r="10" spans="1:28" x14ac:dyDescent="0.3">
      <c r="A10" s="4">
        <v>0.29770983703300197</v>
      </c>
      <c r="B10" s="3">
        <v>153670</v>
      </c>
      <c r="C10" s="6">
        <v>88116</v>
      </c>
      <c r="D10" s="4">
        <v>0</v>
      </c>
      <c r="E10" s="4">
        <v>63.2</v>
      </c>
      <c r="F10" s="5">
        <v>17.070996290752912</v>
      </c>
      <c r="G10" s="5"/>
      <c r="H10" s="5"/>
      <c r="I10" s="5"/>
      <c r="J10" s="5"/>
      <c r="K10" s="5"/>
      <c r="L10" s="5"/>
      <c r="M10" s="5"/>
      <c r="N10" s="5"/>
      <c r="O10" s="5"/>
      <c r="P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" thickBot="1" x14ac:dyDescent="0.35">
      <c r="A11" s="4">
        <v>0.27878895405873633</v>
      </c>
      <c r="B11" s="3">
        <v>162990</v>
      </c>
      <c r="C11" s="6">
        <v>95818</v>
      </c>
      <c r="D11" s="4">
        <v>0</v>
      </c>
      <c r="E11" s="4">
        <v>64.319999999999993</v>
      </c>
      <c r="F11" s="5">
        <v>16.389349039818395</v>
      </c>
      <c r="G11" s="5"/>
      <c r="H11" s="5" t="s">
        <v>36</v>
      </c>
      <c r="I11" s="5"/>
      <c r="J11" s="5"/>
      <c r="K11" s="5"/>
      <c r="L11" s="5"/>
      <c r="M11" s="5"/>
      <c r="N11" s="5"/>
      <c r="O11" s="5"/>
      <c r="P11" s="5"/>
      <c r="T11" s="5" t="s">
        <v>36</v>
      </c>
      <c r="U11" s="5"/>
      <c r="V11" s="5"/>
      <c r="W11" s="5"/>
      <c r="X11" s="5"/>
      <c r="Y11" s="5"/>
      <c r="Z11" s="5"/>
      <c r="AA11" s="5"/>
      <c r="AB11" s="5"/>
    </row>
    <row r="12" spans="1:28" x14ac:dyDescent="0.3">
      <c r="A12" s="4">
        <v>0.3414846915803692</v>
      </c>
      <c r="B12" s="3">
        <v>108646</v>
      </c>
      <c r="C12" s="6">
        <v>71072</v>
      </c>
      <c r="D12" s="4">
        <v>1.1678298063935164E-3</v>
      </c>
      <c r="E12" s="5">
        <v>61.584917150904623</v>
      </c>
      <c r="F12" s="5">
        <v>22.338604274432562</v>
      </c>
      <c r="G12" s="5"/>
      <c r="H12" s="14"/>
      <c r="I12" s="14" t="s">
        <v>41</v>
      </c>
      <c r="J12" s="14" t="s">
        <v>42</v>
      </c>
      <c r="K12" s="14" t="s">
        <v>43</v>
      </c>
      <c r="L12" s="14" t="s">
        <v>44</v>
      </c>
      <c r="M12" s="14" t="s">
        <v>45</v>
      </c>
      <c r="N12" s="5"/>
      <c r="O12" s="5"/>
      <c r="P12" s="5"/>
      <c r="T12" s="14"/>
      <c r="U12" s="14" t="s">
        <v>41</v>
      </c>
      <c r="V12" s="14" t="s">
        <v>42</v>
      </c>
      <c r="W12" s="14" t="s">
        <v>43</v>
      </c>
      <c r="X12" s="14" t="s">
        <v>44</v>
      </c>
      <c r="Y12" s="14" t="s">
        <v>45</v>
      </c>
      <c r="Z12" s="5"/>
      <c r="AA12" s="5"/>
      <c r="AB12" s="5"/>
    </row>
    <row r="13" spans="1:28" x14ac:dyDescent="0.3">
      <c r="A13" s="4">
        <v>0.30492727399262298</v>
      </c>
      <c r="B13" s="3">
        <v>117966</v>
      </c>
      <c r="C13" s="6">
        <v>86214</v>
      </c>
      <c r="D13" s="4">
        <v>8.2353214095158556E-4</v>
      </c>
      <c r="E13" s="5">
        <v>66.708112360120793</v>
      </c>
      <c r="F13" s="5">
        <v>22.285234728650629</v>
      </c>
      <c r="G13" s="5"/>
      <c r="H13" s="5" t="s">
        <v>37</v>
      </c>
      <c r="I13" s="5">
        <v>2</v>
      </c>
      <c r="J13" s="5">
        <v>0.5818340401054769</v>
      </c>
      <c r="K13" s="5">
        <v>0.29091702005273845</v>
      </c>
      <c r="L13" s="5">
        <v>6.3171941340513635</v>
      </c>
      <c r="M13" s="5">
        <v>2.192120964271016E-3</v>
      </c>
      <c r="N13" s="5"/>
      <c r="O13" s="5"/>
      <c r="P13" s="5"/>
      <c r="T13" s="5" t="s">
        <v>37</v>
      </c>
      <c r="U13" s="5">
        <v>4</v>
      </c>
      <c r="V13" s="5">
        <v>5273.0625940109785</v>
      </c>
      <c r="W13" s="5">
        <v>1318.2656485027446</v>
      </c>
      <c r="X13" s="5">
        <v>35.188532433973094</v>
      </c>
      <c r="Y13" s="5">
        <v>4.104246848560202E-22</v>
      </c>
      <c r="Z13" s="5"/>
      <c r="AA13" s="5"/>
      <c r="AB13" s="5"/>
    </row>
    <row r="14" spans="1:28" x14ac:dyDescent="0.3">
      <c r="A14" s="4">
        <v>0.30337844187576357</v>
      </c>
      <c r="B14" s="3">
        <v>123104</v>
      </c>
      <c r="C14" s="6">
        <v>85128</v>
      </c>
      <c r="D14" s="4">
        <v>6.3433887792500702E-4</v>
      </c>
      <c r="E14" s="5">
        <v>67.455466750248135</v>
      </c>
      <c r="F14" s="5">
        <v>20.979009617884063</v>
      </c>
      <c r="G14" s="5"/>
      <c r="H14" s="5" t="s">
        <v>38</v>
      </c>
      <c r="I14" s="5">
        <v>197</v>
      </c>
      <c r="J14" s="5">
        <v>9.0721690254016014</v>
      </c>
      <c r="K14" s="5">
        <v>4.6051619418282244E-2</v>
      </c>
      <c r="L14" s="5"/>
      <c r="M14" s="5"/>
      <c r="N14" s="5"/>
      <c r="O14" s="5"/>
      <c r="P14" s="5"/>
      <c r="T14" s="5" t="s">
        <v>38</v>
      </c>
      <c r="U14" s="5">
        <v>195</v>
      </c>
      <c r="V14" s="5">
        <v>7305.2720212296354</v>
      </c>
      <c r="W14" s="5">
        <v>37.462933442203258</v>
      </c>
      <c r="X14" s="5"/>
      <c r="Y14" s="5"/>
      <c r="Z14" s="5"/>
      <c r="AA14" s="5"/>
      <c r="AB14" s="5"/>
    </row>
    <row r="15" spans="1:28" ht="15" thickBot="1" x14ac:dyDescent="0.35">
      <c r="A15" s="4">
        <v>0.35185475035216779</v>
      </c>
      <c r="B15" s="3">
        <v>146463</v>
      </c>
      <c r="C15" s="6">
        <v>89446</v>
      </c>
      <c r="D15" s="4">
        <v>4.9191691076180041E-4</v>
      </c>
      <c r="E15" s="5">
        <v>83.871655473830074</v>
      </c>
      <c r="F15" s="5">
        <v>21.488020865338004</v>
      </c>
      <c r="G15" s="5"/>
      <c r="H15" s="13" t="s">
        <v>39</v>
      </c>
      <c r="I15" s="13">
        <v>199</v>
      </c>
      <c r="J15" s="13">
        <v>9.6540030655070783</v>
      </c>
      <c r="K15" s="13"/>
      <c r="L15" s="13"/>
      <c r="M15" s="13"/>
      <c r="N15" s="5"/>
      <c r="O15" s="5"/>
      <c r="P15" s="5"/>
      <c r="T15" s="13" t="s">
        <v>39</v>
      </c>
      <c r="U15" s="13">
        <v>199</v>
      </c>
      <c r="V15" s="13">
        <v>12578.334615240614</v>
      </c>
      <c r="W15" s="13"/>
      <c r="X15" s="13"/>
      <c r="Y15" s="13"/>
      <c r="Z15" s="5"/>
      <c r="AA15" s="5"/>
      <c r="AB15" s="5"/>
    </row>
    <row r="16" spans="1:28" ht="15" thickBot="1" x14ac:dyDescent="0.35">
      <c r="A16" s="4">
        <v>0.38442336495257112</v>
      </c>
      <c r="B16" s="3">
        <v>156949</v>
      </c>
      <c r="C16" s="6">
        <v>84126</v>
      </c>
      <c r="D16" s="4">
        <v>0</v>
      </c>
      <c r="E16" s="5">
        <v>86.184841701311157</v>
      </c>
      <c r="F16" s="5">
        <v>20.605419594900255</v>
      </c>
      <c r="G16" s="5"/>
      <c r="H16" s="5"/>
      <c r="I16" s="5"/>
      <c r="J16" s="5"/>
      <c r="K16" s="5"/>
      <c r="L16" s="5"/>
      <c r="M16" s="5"/>
      <c r="N16" s="5"/>
      <c r="O16" s="5"/>
      <c r="P16" s="5"/>
      <c r="T16" s="5"/>
      <c r="U16" s="5"/>
      <c r="V16" s="5"/>
      <c r="W16" s="5"/>
      <c r="X16" s="5"/>
      <c r="Y16" s="5"/>
      <c r="Z16" s="5"/>
      <c r="AA16" s="5"/>
      <c r="AB16" s="5"/>
    </row>
    <row r="17" spans="1:28" x14ac:dyDescent="0.3">
      <c r="A17" s="4">
        <v>0.37520391517128876</v>
      </c>
      <c r="B17" s="3">
        <v>164177</v>
      </c>
      <c r="C17" s="6">
        <v>86433</v>
      </c>
      <c r="D17" s="4">
        <v>0</v>
      </c>
      <c r="E17" s="5">
        <v>87.669973777405303</v>
      </c>
      <c r="F17" s="5">
        <v>19.753071380278602</v>
      </c>
      <c r="G17" s="5"/>
      <c r="H17" s="14"/>
      <c r="I17" s="14" t="s">
        <v>46</v>
      </c>
      <c r="J17" s="14" t="s">
        <v>34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T17" s="14"/>
      <c r="U17" s="14" t="s">
        <v>46</v>
      </c>
      <c r="V17" s="14" t="s">
        <v>34</v>
      </c>
      <c r="W17" s="14" t="s">
        <v>47</v>
      </c>
      <c r="X17" s="14" t="s">
        <v>48</v>
      </c>
      <c r="Y17" s="14" t="s">
        <v>49</v>
      </c>
      <c r="Z17" s="14" t="s">
        <v>50</v>
      </c>
      <c r="AA17" s="14" t="s">
        <v>51</v>
      </c>
      <c r="AB17" s="14" t="s">
        <v>52</v>
      </c>
    </row>
    <row r="18" spans="1:28" x14ac:dyDescent="0.3">
      <c r="A18" s="4">
        <v>0.42996892493745725</v>
      </c>
      <c r="B18" s="3">
        <v>191754</v>
      </c>
      <c r="C18" s="6">
        <v>89139</v>
      </c>
      <c r="D18" s="4">
        <v>0</v>
      </c>
      <c r="E18" s="5">
        <v>104.74433603891667</v>
      </c>
      <c r="F18" s="5">
        <v>19.987588264130082</v>
      </c>
      <c r="G18" s="5"/>
      <c r="H18" s="5" t="s">
        <v>40</v>
      </c>
      <c r="I18" s="5">
        <v>0.2448035370092343</v>
      </c>
      <c r="J18" s="5">
        <v>2.0721389249343157E-2</v>
      </c>
      <c r="K18" s="5">
        <v>11.814050402870274</v>
      </c>
      <c r="L18" s="5">
        <v>1.0716098542845744E-24</v>
      </c>
      <c r="M18" s="5">
        <v>0.20393931971984142</v>
      </c>
      <c r="N18" s="5">
        <v>0.28566775429862717</v>
      </c>
      <c r="O18" s="5">
        <v>0.20393931971984142</v>
      </c>
      <c r="P18" s="5">
        <v>0.28566775429862717</v>
      </c>
      <c r="T18" s="5" t="s">
        <v>40</v>
      </c>
      <c r="U18" s="5">
        <v>11.192671876095151</v>
      </c>
      <c r="V18" s="5">
        <v>0.79585204788599362</v>
      </c>
      <c r="W18" s="5">
        <v>14.063759596807005</v>
      </c>
      <c r="X18" s="5">
        <v>1.7823884852520685E-31</v>
      </c>
      <c r="Y18" s="5">
        <v>9.623089243044106</v>
      </c>
      <c r="Z18" s="5">
        <v>12.762254509146196</v>
      </c>
      <c r="AA18" s="5">
        <v>9.623089243044106</v>
      </c>
      <c r="AB18" s="5">
        <v>12.762254509146196</v>
      </c>
    </row>
    <row r="19" spans="1:28" x14ac:dyDescent="0.3">
      <c r="A19" s="4">
        <v>0.46610413164646552</v>
      </c>
      <c r="B19" s="3">
        <v>225458</v>
      </c>
      <c r="C19" s="6">
        <v>90424</v>
      </c>
      <c r="D19" s="4">
        <v>0</v>
      </c>
      <c r="E19" s="5">
        <v>115.1840616545052</v>
      </c>
      <c r="F19" s="5">
        <v>18.693947431450646</v>
      </c>
      <c r="G19" s="5"/>
      <c r="H19" s="5" t="s">
        <v>3</v>
      </c>
      <c r="I19" s="5">
        <v>-2.2778543033086737E-7</v>
      </c>
      <c r="J19" s="5">
        <v>1.7450585098139027E-7</v>
      </c>
      <c r="K19" s="5">
        <v>-1.3053168650210987</v>
      </c>
      <c r="L19" s="5">
        <v>0.1933074391661066</v>
      </c>
      <c r="M19" s="5">
        <v>-5.7192476032294276E-7</v>
      </c>
      <c r="N19" s="5">
        <v>1.1635389966120796E-7</v>
      </c>
      <c r="O19" s="5">
        <v>-5.7192476032294276E-7</v>
      </c>
      <c r="P19" s="5">
        <v>1.1635389966120796E-7</v>
      </c>
      <c r="T19" s="5" t="s">
        <v>7</v>
      </c>
      <c r="U19" s="5">
        <v>13.679784991277721</v>
      </c>
      <c r="V19" s="5">
        <v>2.0435137961766783</v>
      </c>
      <c r="W19" s="5">
        <v>6.6942464576808725</v>
      </c>
      <c r="X19" s="5">
        <v>2.2504947666123127E-10</v>
      </c>
      <c r="Y19" s="5">
        <v>9.6495588036351148</v>
      </c>
      <c r="Z19" s="5">
        <v>17.710011178920325</v>
      </c>
      <c r="AA19" s="5">
        <v>9.6495588036351148</v>
      </c>
      <c r="AB19" s="5">
        <v>17.710011178920325</v>
      </c>
    </row>
    <row r="20" spans="1:28" ht="15" thickBot="1" x14ac:dyDescent="0.35">
      <c r="A20" s="4">
        <v>0.50733238294157301</v>
      </c>
      <c r="B20" s="3">
        <v>240893</v>
      </c>
      <c r="C20" s="6">
        <v>90489</v>
      </c>
      <c r="D20" s="4">
        <v>0</v>
      </c>
      <c r="E20" s="5">
        <v>126.88427627760427</v>
      </c>
      <c r="F20" s="5">
        <v>19.057423835478822</v>
      </c>
      <c r="G20" s="5"/>
      <c r="H20" s="13" t="s">
        <v>4</v>
      </c>
      <c r="I20" s="13">
        <v>-1.2744860594142248E-7</v>
      </c>
      <c r="J20" s="13">
        <v>2.0040442415331437E-7</v>
      </c>
      <c r="K20" s="13">
        <v>-0.63595704775420092</v>
      </c>
      <c r="L20" s="13">
        <v>0.52554254347430818</v>
      </c>
      <c r="M20" s="13">
        <v>-5.2266196909062775E-7</v>
      </c>
      <c r="N20" s="13">
        <v>2.6776475720778275E-7</v>
      </c>
      <c r="O20" s="13">
        <v>-5.2266196909062775E-7</v>
      </c>
      <c r="P20" s="13">
        <v>2.6776475720778275E-7</v>
      </c>
      <c r="T20" s="5" t="s">
        <v>3</v>
      </c>
      <c r="U20" s="5">
        <v>-4.548140414973908E-5</v>
      </c>
      <c r="V20" s="5">
        <v>5.1144037030125667E-6</v>
      </c>
      <c r="W20" s="5">
        <v>-8.8928068237845412</v>
      </c>
      <c r="X20" s="5">
        <v>4.0365702284117424E-16</v>
      </c>
      <c r="Y20" s="5">
        <v>-5.5568051852642806E-5</v>
      </c>
      <c r="Z20" s="5">
        <v>-3.5394756446835353E-5</v>
      </c>
      <c r="AA20" s="5">
        <v>-5.5568051852642806E-5</v>
      </c>
      <c r="AB20" s="5">
        <v>-3.5394756446835353E-5</v>
      </c>
    </row>
    <row r="21" spans="1:28" x14ac:dyDescent="0.3">
      <c r="A21" s="4">
        <v>0.51240027016758838</v>
      </c>
      <c r="B21" s="3">
        <v>255324</v>
      </c>
      <c r="C21" s="6">
        <v>94756</v>
      </c>
      <c r="D21" s="4">
        <v>0</v>
      </c>
      <c r="E21" s="5">
        <v>134.1947430972057</v>
      </c>
      <c r="F21" s="5">
        <v>19.01623035828986</v>
      </c>
      <c r="G21" s="5"/>
      <c r="H21" s="5"/>
      <c r="I21" s="5"/>
      <c r="J21" s="5"/>
      <c r="K21" s="5"/>
      <c r="L21" s="5"/>
      <c r="M21" s="5"/>
      <c r="N21" s="5"/>
      <c r="O21" s="5"/>
      <c r="P21" s="5"/>
      <c r="T21" s="5" t="s">
        <v>4</v>
      </c>
      <c r="U21" s="5">
        <v>4.7825045812107245E-5</v>
      </c>
      <c r="V21" s="5">
        <v>5.7947608724998904E-6</v>
      </c>
      <c r="W21" s="5">
        <v>8.2531526087762899</v>
      </c>
      <c r="X21" s="5">
        <v>2.2802012702545167E-14</v>
      </c>
      <c r="Y21" s="5">
        <v>3.6396594943231082E-5</v>
      </c>
      <c r="Z21" s="5">
        <v>5.9253496680983407E-5</v>
      </c>
      <c r="AA21" s="5">
        <v>3.6396594943231082E-5</v>
      </c>
      <c r="AB21" s="5">
        <v>5.9253496680983407E-5</v>
      </c>
    </row>
    <row r="22" spans="1:28" ht="15" thickBot="1" x14ac:dyDescent="0.35">
      <c r="A22" s="4">
        <v>0.1930423362979144</v>
      </c>
      <c r="B22" s="8">
        <v>51244</v>
      </c>
      <c r="C22" s="6">
        <v>46144.799999999996</v>
      </c>
      <c r="D22" s="4">
        <v>3.762070699190375E-2</v>
      </c>
      <c r="E22" s="5">
        <v>6.7601882067238366</v>
      </c>
      <c r="F22" s="5">
        <v>17.38330341113106</v>
      </c>
      <c r="G22" s="5"/>
      <c r="H22" s="5"/>
      <c r="I22" s="5"/>
      <c r="J22" s="5"/>
      <c r="K22" s="5"/>
      <c r="L22" s="5"/>
      <c r="M22" s="5"/>
      <c r="N22" s="5"/>
      <c r="O22" s="5"/>
      <c r="P22" s="5"/>
      <c r="T22" s="13" t="s">
        <v>5</v>
      </c>
      <c r="U22" s="13">
        <v>6.6968157691661475E-3</v>
      </c>
      <c r="V22" s="13">
        <v>7.0111177730547616E-3</v>
      </c>
      <c r="W22" s="13">
        <v>0.95517091367420126</v>
      </c>
      <c r="X22" s="13">
        <v>0.34067387707106189</v>
      </c>
      <c r="Y22" s="13">
        <v>-7.1305391067726584E-3</v>
      </c>
      <c r="Z22" s="13">
        <v>2.0524170645104953E-2</v>
      </c>
      <c r="AA22" s="13">
        <v>-7.1305391067726584E-3</v>
      </c>
      <c r="AB22" s="13">
        <v>2.0524170645104953E-2</v>
      </c>
    </row>
    <row r="23" spans="1:28" x14ac:dyDescent="0.3">
      <c r="A23" s="4">
        <v>0.1643713397664418</v>
      </c>
      <c r="B23" s="8">
        <v>55448.4</v>
      </c>
      <c r="C23" s="6">
        <v>51670.2</v>
      </c>
      <c r="D23" s="4">
        <v>3.7952243265944395E-2</v>
      </c>
      <c r="E23" s="5">
        <v>6.5508916450697274</v>
      </c>
      <c r="F23" s="5">
        <v>15.31712366813109</v>
      </c>
      <c r="G23" s="5"/>
      <c r="H23" s="5" t="s">
        <v>29</v>
      </c>
      <c r="I23" s="5"/>
      <c r="J23" s="5"/>
      <c r="K23" s="5"/>
      <c r="L23" s="5"/>
      <c r="M23" s="5"/>
      <c r="N23" s="5"/>
      <c r="O23" s="5"/>
      <c r="P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" thickBot="1" x14ac:dyDescent="0.35">
      <c r="A24" s="4">
        <v>0.16698138600309223</v>
      </c>
      <c r="B24" s="8">
        <v>54487.1</v>
      </c>
      <c r="C24" s="6">
        <v>47926.3</v>
      </c>
      <c r="D24" s="4">
        <v>9.4457531668415876E-2</v>
      </c>
      <c r="E24" s="5">
        <v>6.6338956355949774</v>
      </c>
      <c r="F24" s="5">
        <v>14.687513191195714</v>
      </c>
      <c r="G24" s="5"/>
      <c r="H24" s="5"/>
      <c r="I24" s="5"/>
      <c r="J24" s="5"/>
      <c r="K24" s="5"/>
      <c r="L24" s="5"/>
      <c r="M24" s="5"/>
      <c r="N24" s="5"/>
      <c r="O24" s="5"/>
      <c r="P24" s="5"/>
      <c r="T24" s="5"/>
      <c r="U24" s="5"/>
      <c r="V24" s="5"/>
      <c r="W24" s="5"/>
      <c r="X24" s="5"/>
      <c r="Y24" s="5"/>
      <c r="Z24" s="5"/>
      <c r="AA24" s="5"/>
      <c r="AB24" s="5"/>
    </row>
    <row r="25" spans="1:28" x14ac:dyDescent="0.3">
      <c r="A25" s="4">
        <v>0.15957612729650883</v>
      </c>
      <c r="B25" s="8">
        <v>59018.9</v>
      </c>
      <c r="C25" s="6">
        <v>56422.600000000006</v>
      </c>
      <c r="D25" s="4">
        <v>5.0281270271132487E-2</v>
      </c>
      <c r="E25" s="5">
        <v>7.4608672594237611</v>
      </c>
      <c r="F25" s="5">
        <v>15.255621504297775</v>
      </c>
      <c r="G25" s="5"/>
      <c r="H25" s="12" t="s">
        <v>30</v>
      </c>
      <c r="I25" s="12"/>
      <c r="J25" s="5"/>
      <c r="K25" s="5"/>
      <c r="L25" s="5"/>
      <c r="M25" s="5"/>
      <c r="N25" s="5"/>
      <c r="O25" s="5"/>
      <c r="P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3">
      <c r="A26" s="4">
        <v>0.17574116485935898</v>
      </c>
      <c r="B26" s="8">
        <v>61137.599999999999</v>
      </c>
      <c r="C26" s="6">
        <v>55321.7</v>
      </c>
      <c r="D26" s="4">
        <v>8.7488273136942657E-3</v>
      </c>
      <c r="E26" s="5">
        <v>8.5084057514417974</v>
      </c>
      <c r="F26" s="5">
        <v>15.902325246656721</v>
      </c>
      <c r="G26" s="5"/>
      <c r="H26" s="5" t="s">
        <v>31</v>
      </c>
      <c r="I26" s="5">
        <v>0.51071269843096911</v>
      </c>
      <c r="J26" s="5"/>
      <c r="K26" s="5"/>
      <c r="L26" s="5"/>
      <c r="M26" s="5"/>
      <c r="N26" s="5"/>
      <c r="O26" s="5"/>
      <c r="P26" s="5"/>
    </row>
    <row r="27" spans="1:28" x14ac:dyDescent="0.3">
      <c r="A27" s="4">
        <v>0.196652155698439</v>
      </c>
      <c r="B27" s="8">
        <v>61934.9</v>
      </c>
      <c r="C27" s="6">
        <v>54901</v>
      </c>
      <c r="D27" s="4">
        <v>1.3588094934518498E-2</v>
      </c>
      <c r="E27" s="5">
        <v>9.8522581057280778</v>
      </c>
      <c r="F27" s="5">
        <v>17.431851831519868</v>
      </c>
      <c r="G27" s="5"/>
      <c r="H27" s="5" t="s">
        <v>32</v>
      </c>
      <c r="I27" s="5">
        <v>0.26082746033864196</v>
      </c>
      <c r="J27" s="5"/>
      <c r="K27" s="5"/>
      <c r="L27" s="5"/>
      <c r="M27" s="5"/>
      <c r="N27" s="5"/>
      <c r="O27" s="5"/>
      <c r="P27" s="5"/>
    </row>
    <row r="28" spans="1:28" x14ac:dyDescent="0.3">
      <c r="A28" s="4">
        <v>0.18698836444811401</v>
      </c>
      <c r="B28" s="8">
        <v>79312</v>
      </c>
      <c r="C28" s="6">
        <v>65403</v>
      </c>
      <c r="D28" s="4">
        <v>8.6326315306637313E-2</v>
      </c>
      <c r="E28" s="5">
        <v>11.154221504729071</v>
      </c>
      <c r="F28" s="5">
        <v>15.419608634254589</v>
      </c>
      <c r="G28" s="5"/>
      <c r="H28" s="5" t="s">
        <v>33</v>
      </c>
      <c r="I28" s="5">
        <v>0.25332317059588705</v>
      </c>
      <c r="J28" s="5"/>
      <c r="K28" s="5"/>
      <c r="L28" s="5"/>
      <c r="M28" s="5"/>
      <c r="N28" s="5"/>
      <c r="O28" s="5"/>
      <c r="P28" s="5"/>
    </row>
    <row r="29" spans="1:28" x14ac:dyDescent="0.3">
      <c r="A29" s="4">
        <v>0.14613501845678845</v>
      </c>
      <c r="B29" s="8">
        <v>90487.6</v>
      </c>
      <c r="C29" s="6">
        <v>77667.900000000009</v>
      </c>
      <c r="D29" s="4">
        <v>7.888715930262051E-2</v>
      </c>
      <c r="E29" s="5">
        <v>10.340931868292062</v>
      </c>
      <c r="F29" s="5">
        <v>12.543155084232534</v>
      </c>
      <c r="G29" s="5"/>
      <c r="H29" s="5" t="s">
        <v>34</v>
      </c>
      <c r="I29" s="5">
        <v>6.8699151171644433</v>
      </c>
      <c r="J29" s="5"/>
      <c r="K29" s="5"/>
      <c r="L29" s="5"/>
      <c r="M29" s="5"/>
      <c r="N29" s="5"/>
      <c r="O29" s="5"/>
      <c r="P29" s="5"/>
    </row>
    <row r="30" spans="1:28" ht="15" thickBot="1" x14ac:dyDescent="0.35">
      <c r="A30" s="4">
        <v>0.14729231093383902</v>
      </c>
      <c r="B30" s="8">
        <v>89760.3</v>
      </c>
      <c r="C30" s="6">
        <v>74988.3</v>
      </c>
      <c r="D30" s="4">
        <v>8.3079627088492466E-2</v>
      </c>
      <c r="E30" s="5">
        <v>10.569265954087443</v>
      </c>
      <c r="F30" s="5">
        <v>12.305217339959871</v>
      </c>
      <c r="G30" s="5"/>
      <c r="H30" s="13" t="s">
        <v>35</v>
      </c>
      <c r="I30" s="13">
        <v>200</v>
      </c>
      <c r="J30" s="5"/>
      <c r="K30" s="5"/>
      <c r="L30" s="5"/>
      <c r="M30" s="5"/>
      <c r="N30" s="5"/>
      <c r="O30" s="5"/>
      <c r="P30" s="5"/>
    </row>
    <row r="31" spans="1:28" x14ac:dyDescent="0.3">
      <c r="A31" s="4">
        <v>0.15858072460793662</v>
      </c>
      <c r="B31" s="9">
        <v>89088.4</v>
      </c>
      <c r="C31">
        <v>82831</v>
      </c>
      <c r="D31" s="4">
        <v>7.7205394115729617E-2</v>
      </c>
      <c r="E31" s="5">
        <v>12.543233926337601</v>
      </c>
      <c r="F31" s="5">
        <v>14.744231572236115</v>
      </c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28" ht="15" thickBot="1" x14ac:dyDescent="0.35">
      <c r="A32" s="4">
        <v>6.7691674902987317E-2</v>
      </c>
      <c r="B32" s="8">
        <v>220632.75</v>
      </c>
      <c r="C32" s="6">
        <v>180592.37</v>
      </c>
      <c r="D32" s="4">
        <v>0</v>
      </c>
      <c r="E32" s="5">
        <v>15.747668367084042</v>
      </c>
      <c r="F32" s="5">
        <v>5.5407005532950118</v>
      </c>
      <c r="G32" s="5"/>
      <c r="H32" s="5" t="s">
        <v>36</v>
      </c>
      <c r="I32" s="5"/>
      <c r="J32" s="5"/>
      <c r="K32" s="5"/>
      <c r="L32" s="5"/>
      <c r="M32" s="5"/>
      <c r="N32" s="5"/>
      <c r="O32" s="5"/>
      <c r="P32" s="5"/>
    </row>
    <row r="33" spans="1:28" x14ac:dyDescent="0.3">
      <c r="A33" s="4">
        <v>1.11067550093316E-3</v>
      </c>
      <c r="B33" s="8">
        <v>230447.1</v>
      </c>
      <c r="C33" s="6">
        <v>217192.15</v>
      </c>
      <c r="D33" s="4">
        <v>0</v>
      </c>
      <c r="E33" s="5">
        <v>0.30253966263247006</v>
      </c>
      <c r="F33" s="5">
        <v>0.10467912158582163</v>
      </c>
      <c r="G33" s="5"/>
      <c r="H33" s="14"/>
      <c r="I33" s="14" t="s">
        <v>41</v>
      </c>
      <c r="J33" s="14" t="s">
        <v>42</v>
      </c>
      <c r="K33" s="14" t="s">
        <v>43</v>
      </c>
      <c r="L33" s="14" t="s">
        <v>44</v>
      </c>
      <c r="M33" s="14" t="s">
        <v>45</v>
      </c>
      <c r="N33" s="5"/>
      <c r="O33" s="5"/>
      <c r="P33" s="5"/>
    </row>
    <row r="34" spans="1:28" x14ac:dyDescent="0.3">
      <c r="A34" s="4">
        <v>0</v>
      </c>
      <c r="B34" s="8">
        <v>228970.28</v>
      </c>
      <c r="C34" s="6">
        <v>230321.94999999998</v>
      </c>
      <c r="D34" s="4">
        <v>0</v>
      </c>
      <c r="E34" s="5">
        <v>-5.1053156443986278</v>
      </c>
      <c r="F34" s="5">
        <v>0</v>
      </c>
      <c r="G34" s="5"/>
      <c r="H34" s="5" t="s">
        <v>37</v>
      </c>
      <c r="I34" s="5">
        <v>2</v>
      </c>
      <c r="J34" s="5">
        <v>3280.7750729828385</v>
      </c>
      <c r="K34" s="5">
        <v>1640.3875364914193</v>
      </c>
      <c r="L34" s="5">
        <v>34.757114834280031</v>
      </c>
      <c r="M34" s="5">
        <v>1.1788640011786143E-13</v>
      </c>
      <c r="N34" s="5"/>
      <c r="O34" s="5"/>
      <c r="P34" s="5"/>
    </row>
    <row r="35" spans="1:28" x14ac:dyDescent="0.3">
      <c r="A35" s="4">
        <v>9.8067486622140463E-3</v>
      </c>
      <c r="B35" s="8">
        <v>253322.17</v>
      </c>
      <c r="C35" s="6">
        <v>234495.66</v>
      </c>
      <c r="D35" s="4">
        <v>0</v>
      </c>
      <c r="E35" s="5">
        <v>2.5767429352576023</v>
      </c>
      <c r="F35" s="5">
        <v>0.90779263417805067</v>
      </c>
      <c r="G35" s="5"/>
      <c r="H35" s="5" t="s">
        <v>38</v>
      </c>
      <c r="I35" s="5">
        <v>197</v>
      </c>
      <c r="J35" s="5">
        <v>9297.5595422577753</v>
      </c>
      <c r="K35" s="5">
        <v>47.195733717044547</v>
      </c>
      <c r="L35" s="5"/>
      <c r="M35" s="5"/>
      <c r="N35" s="5"/>
      <c r="O35" s="5"/>
      <c r="P35" s="5"/>
    </row>
    <row r="36" spans="1:28" ht="15" thickBot="1" x14ac:dyDescent="0.35">
      <c r="A36" s="4">
        <v>7.8737315986306386E-2</v>
      </c>
      <c r="B36" s="8">
        <v>269851.65999999997</v>
      </c>
      <c r="C36" s="6">
        <v>251060.12</v>
      </c>
      <c r="D36" s="4">
        <v>0</v>
      </c>
      <c r="E36" s="5">
        <v>22.149788225802837</v>
      </c>
      <c r="F36" s="5">
        <v>7.3254320540403564</v>
      </c>
      <c r="G36" s="5"/>
      <c r="H36" s="13" t="s">
        <v>39</v>
      </c>
      <c r="I36" s="13">
        <v>199</v>
      </c>
      <c r="J36" s="13">
        <v>12578.334615240614</v>
      </c>
      <c r="K36" s="13"/>
      <c r="L36" s="13"/>
      <c r="M36" s="13"/>
      <c r="N36" s="5"/>
      <c r="O36" s="5"/>
      <c r="P36" s="5"/>
    </row>
    <row r="37" spans="1:28" ht="15" thickBot="1" x14ac:dyDescent="0.35">
      <c r="A37" s="4">
        <v>8.130836536126447E-2</v>
      </c>
      <c r="B37" s="8">
        <v>278115.48</v>
      </c>
      <c r="C37" s="6">
        <v>275561.56</v>
      </c>
      <c r="D37" s="4">
        <v>0</v>
      </c>
      <c r="E37" s="5">
        <v>25.105282029446695</v>
      </c>
      <c r="F37" s="5">
        <v>8.0561714867507561</v>
      </c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28" x14ac:dyDescent="0.3">
      <c r="A38" s="4">
        <v>0.11575675540181479</v>
      </c>
      <c r="B38" s="8">
        <v>289972.69</v>
      </c>
      <c r="C38" s="6">
        <v>305588.04000000004</v>
      </c>
      <c r="D38" s="4">
        <v>0</v>
      </c>
      <c r="E38" s="5">
        <v>39.636375859982515</v>
      </c>
      <c r="F38" s="5">
        <v>12.199038468070906</v>
      </c>
      <c r="G38" s="5"/>
      <c r="H38" s="14"/>
      <c r="I38" s="14" t="s">
        <v>46</v>
      </c>
      <c r="J38" s="14" t="s">
        <v>34</v>
      </c>
      <c r="K38" s="14" t="s">
        <v>47</v>
      </c>
      <c r="L38" s="14" t="s">
        <v>48</v>
      </c>
      <c r="M38" s="14" t="s">
        <v>49</v>
      </c>
      <c r="N38" s="14" t="s">
        <v>50</v>
      </c>
      <c r="O38" s="14" t="s">
        <v>51</v>
      </c>
      <c r="P38" s="14" t="s">
        <v>52</v>
      </c>
    </row>
    <row r="39" spans="1:28" x14ac:dyDescent="0.3">
      <c r="A39" s="4">
        <v>0.1550384903719185</v>
      </c>
      <c r="B39" s="8">
        <v>350844.58</v>
      </c>
      <c r="C39" s="6">
        <v>358931.32</v>
      </c>
      <c r="D39" s="4">
        <v>0</v>
      </c>
      <c r="E39" s="5">
        <v>62.353685319229989</v>
      </c>
      <c r="F39" s="5">
        <v>15.861202701207469</v>
      </c>
      <c r="G39" s="5"/>
      <c r="H39" s="5" t="s">
        <v>40</v>
      </c>
      <c r="I39" s="5">
        <v>14.568859346317057</v>
      </c>
      <c r="J39" s="5">
        <v>0.66335771829537493</v>
      </c>
      <c r="K39" s="5">
        <v>21.962297180704461</v>
      </c>
      <c r="L39" s="5">
        <v>7.4441254695532176E-55</v>
      </c>
      <c r="M39" s="5">
        <v>13.260665498171601</v>
      </c>
      <c r="N39" s="5">
        <v>15.877053194462512</v>
      </c>
      <c r="O39" s="5">
        <v>13.260665498171601</v>
      </c>
      <c r="P39" s="5">
        <v>15.877053194462512</v>
      </c>
    </row>
    <row r="40" spans="1:28" x14ac:dyDescent="0.3">
      <c r="A40" s="4">
        <v>0.16167350505858483</v>
      </c>
      <c r="B40" s="8">
        <v>439188.51</v>
      </c>
      <c r="C40" s="6">
        <v>414939.17000000004</v>
      </c>
      <c r="D40" s="4">
        <v>0</v>
      </c>
      <c r="E40" s="5">
        <v>75.168265244380692</v>
      </c>
      <c r="F40" s="5">
        <v>15.274686944792796</v>
      </c>
      <c r="G40" s="5"/>
      <c r="H40" s="5" t="s">
        <v>3</v>
      </c>
      <c r="I40" s="5">
        <v>-4.6535926131383464E-5</v>
      </c>
      <c r="J40" s="5">
        <v>5.5864885188562943E-6</v>
      </c>
      <c r="K40" s="5">
        <v>-8.3300853432901416</v>
      </c>
      <c r="L40" s="5">
        <v>1.3540387393380614E-14</v>
      </c>
      <c r="M40" s="5">
        <v>-5.7552923011864281E-5</v>
      </c>
      <c r="N40" s="5">
        <v>-3.5518929250902647E-5</v>
      </c>
      <c r="O40" s="5">
        <v>-5.7552923011864281E-5</v>
      </c>
      <c r="P40" s="5">
        <v>-3.5518929250902647E-5</v>
      </c>
    </row>
    <row r="41" spans="1:28" ht="15" thickBot="1" x14ac:dyDescent="0.35">
      <c r="A41" s="4">
        <v>0.15925151111796981</v>
      </c>
      <c r="B41" s="8">
        <v>490937.79</v>
      </c>
      <c r="C41" s="6">
        <v>487036.76</v>
      </c>
      <c r="D41" s="4">
        <v>0</v>
      </c>
      <c r="E41" s="5">
        <v>86.907357192479211</v>
      </c>
      <c r="F41" s="5">
        <v>15.798608618008403</v>
      </c>
      <c r="G41" s="5"/>
      <c r="H41" s="13" t="s">
        <v>4</v>
      </c>
      <c r="I41" s="13">
        <v>4.4203140952308009E-5</v>
      </c>
      <c r="J41" s="13">
        <v>6.4155843965363088E-6</v>
      </c>
      <c r="K41" s="13">
        <v>6.8899632863021356</v>
      </c>
      <c r="L41" s="13">
        <v>7.3425567239001953E-11</v>
      </c>
      <c r="M41" s="13">
        <v>3.1551101474462252E-5</v>
      </c>
      <c r="N41" s="13">
        <v>5.6855180430153766E-5</v>
      </c>
      <c r="O41" s="13">
        <v>3.1551101474462252E-5</v>
      </c>
      <c r="P41" s="13">
        <v>5.6855180430153766E-5</v>
      </c>
    </row>
    <row r="42" spans="1:28" x14ac:dyDescent="0.3">
      <c r="A42" s="4">
        <v>0.17228288656364052</v>
      </c>
      <c r="B42" s="8">
        <v>63161.56</v>
      </c>
      <c r="C42" s="6">
        <v>74304.13</v>
      </c>
      <c r="D42" s="4">
        <v>9.2580075966167676</v>
      </c>
      <c r="E42" s="5">
        <v>12.658541650185903</v>
      </c>
      <c r="F42" s="5">
        <v>20.267596303827833</v>
      </c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28" x14ac:dyDescent="0.3">
      <c r="A43" s="4">
        <v>0.16646500123374144</v>
      </c>
      <c r="B43" s="8">
        <v>73271.350000000006</v>
      </c>
      <c r="C43" s="6">
        <v>91793.95</v>
      </c>
      <c r="D43" s="4">
        <v>8.7211652837687019</v>
      </c>
      <c r="E43" s="5">
        <v>14.90749448791243</v>
      </c>
      <c r="F43" s="5">
        <v>20.854645096616888</v>
      </c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28" x14ac:dyDescent="0.3">
      <c r="A44" s="4">
        <v>0.16888838442421941</v>
      </c>
      <c r="B44" s="8">
        <v>85287.84</v>
      </c>
      <c r="C44" s="6">
        <v>109599.13</v>
      </c>
      <c r="D44" s="4">
        <v>9.065647145191754</v>
      </c>
      <c r="E44" s="5">
        <v>17.831702053870757</v>
      </c>
      <c r="F44" s="5">
        <v>21.70300009942801</v>
      </c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28" x14ac:dyDescent="0.3">
      <c r="A45" s="4">
        <v>0.14532467909386093</v>
      </c>
      <c r="B45" s="8">
        <v>105160.74</v>
      </c>
      <c r="C45" s="6">
        <v>153672.66</v>
      </c>
      <c r="D45" s="4">
        <v>7.4127242282394281</v>
      </c>
      <c r="E45" s="5">
        <v>20.501257665332503</v>
      </c>
      <c r="F45" s="5">
        <v>21.236470949139381</v>
      </c>
      <c r="G45" s="5"/>
    </row>
    <row r="46" spans="1:28" x14ac:dyDescent="0.3">
      <c r="A46" s="4">
        <v>0.15453702286663359</v>
      </c>
      <c r="B46" s="8">
        <v>122189.29</v>
      </c>
      <c r="C46" s="6">
        <v>176358.71</v>
      </c>
      <c r="D46" s="4">
        <v>7.9637218938605301</v>
      </c>
      <c r="E46" s="5">
        <v>24.85177721445115</v>
      </c>
      <c r="F46" s="5">
        <v>22.304696262659355</v>
      </c>
      <c r="G46" s="5"/>
    </row>
    <row r="47" spans="1:28" x14ac:dyDescent="0.3">
      <c r="A47" s="4">
        <v>0.15172385820363912</v>
      </c>
      <c r="B47" s="8">
        <v>128552.4</v>
      </c>
      <c r="C47" s="6">
        <v>209810.18</v>
      </c>
      <c r="D47" s="4">
        <v>7.5768318296090316</v>
      </c>
      <c r="E47" s="5">
        <v>28.872088593818024</v>
      </c>
      <c r="F47" s="5">
        <v>24.762828231911659</v>
      </c>
      <c r="G47" s="5"/>
      <c r="T47" s="5"/>
      <c r="U47" s="5"/>
      <c r="V47" s="5"/>
      <c r="W47" s="5"/>
      <c r="X47" s="5"/>
      <c r="Y47" s="5"/>
      <c r="Z47" s="5"/>
      <c r="AA47" s="5"/>
      <c r="AB47" s="5"/>
    </row>
    <row r="48" spans="1:28" x14ac:dyDescent="0.3">
      <c r="A48" s="4">
        <v>0.15385654498268422</v>
      </c>
      <c r="B48" s="8">
        <v>135936.41</v>
      </c>
      <c r="C48" s="6">
        <v>247326.16999999998</v>
      </c>
      <c r="D48" s="4">
        <v>7.5835409168386843</v>
      </c>
      <c r="E48" s="5">
        <v>34.309265988044473</v>
      </c>
      <c r="F48" s="5">
        <v>27.993052045438009</v>
      </c>
      <c r="G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3">
      <c r="A49" s="4">
        <v>0.1589189721442453</v>
      </c>
      <c r="B49" s="8">
        <v>170754.05</v>
      </c>
      <c r="C49" s="6">
        <v>289437.5</v>
      </c>
      <c r="D49" s="4">
        <v>7.7425867069747349</v>
      </c>
      <c r="E49" s="5">
        <v>41.217895066983289</v>
      </c>
      <c r="F49" s="5">
        <v>26.937639253651675</v>
      </c>
      <c r="G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3">
      <c r="A50" s="4">
        <v>0.1403652645377006</v>
      </c>
      <c r="B50" s="8">
        <v>283649.02</v>
      </c>
      <c r="C50" s="6">
        <v>456395.25</v>
      </c>
      <c r="D50" s="4">
        <v>7.8304912463484229</v>
      </c>
      <c r="E50" s="5">
        <v>42.163277126196206</v>
      </c>
      <c r="F50" s="5">
        <v>22.58496785922264</v>
      </c>
      <c r="G50" s="5"/>
    </row>
    <row r="51" spans="1:28" x14ac:dyDescent="0.3">
      <c r="A51" s="4">
        <v>0.13567207642915086</v>
      </c>
      <c r="B51" s="8">
        <v>336367.43</v>
      </c>
      <c r="C51" s="6">
        <v>521789.38999999996</v>
      </c>
      <c r="D51" s="4">
        <v>7.4173996523769876</v>
      </c>
      <c r="E51" s="5">
        <v>46.256142024515825</v>
      </c>
      <c r="F51" s="5">
        <v>21.046107228633879</v>
      </c>
      <c r="G51" s="5"/>
    </row>
    <row r="52" spans="1:28" x14ac:dyDescent="0.3">
      <c r="A52" s="4">
        <v>0.10817003631467274</v>
      </c>
      <c r="B52" s="8">
        <v>59293.71</v>
      </c>
      <c r="C52" s="6">
        <v>94110.720000000001</v>
      </c>
      <c r="D52" s="4">
        <v>8.7625031452314879</v>
      </c>
      <c r="E52" s="5">
        <v>15.915637409712016</v>
      </c>
      <c r="F52" s="5">
        <v>17.168701368155237</v>
      </c>
      <c r="G52" s="5"/>
    </row>
    <row r="53" spans="1:28" x14ac:dyDescent="0.3">
      <c r="A53" s="4">
        <v>9.7373461273797687E-2</v>
      </c>
      <c r="B53" s="8">
        <v>60939.98</v>
      </c>
      <c r="C53" s="6">
        <v>104632</v>
      </c>
      <c r="D53" s="4">
        <v>8.4208717218441773</v>
      </c>
      <c r="E53" s="5">
        <v>15.902199191496665</v>
      </c>
      <c r="F53" s="5">
        <v>16.71871241178615</v>
      </c>
      <c r="G53" s="5"/>
    </row>
    <row r="54" spans="1:28" x14ac:dyDescent="0.3">
      <c r="A54" s="4">
        <v>6.9711750099656786E-2</v>
      </c>
      <c r="B54" s="8">
        <v>62162.35</v>
      </c>
      <c r="C54" s="6">
        <v>110629.7</v>
      </c>
      <c r="D54" s="4">
        <v>9.1625607770788502</v>
      </c>
      <c r="E54" s="5">
        <v>11.997806471686372</v>
      </c>
      <c r="F54" s="5">
        <v>12.40652903244488</v>
      </c>
      <c r="G54" s="5"/>
    </row>
    <row r="55" spans="1:28" x14ac:dyDescent="0.3">
      <c r="A55" s="4">
        <v>3.723512497351282E-2</v>
      </c>
      <c r="B55" s="8">
        <v>71981.649999999994</v>
      </c>
      <c r="C55" s="6">
        <v>114253.41</v>
      </c>
      <c r="D55" s="4">
        <v>9.8425113088528384</v>
      </c>
      <c r="E55" s="5">
        <v>6.5996090720114173</v>
      </c>
      <c r="F55" s="5">
        <v>5.9101729399089908</v>
      </c>
      <c r="G55" s="5"/>
    </row>
    <row r="56" spans="1:28" x14ac:dyDescent="0.3">
      <c r="A56" s="4">
        <v>7.7800140956339803E-2</v>
      </c>
      <c r="B56" s="8">
        <v>84835.77</v>
      </c>
      <c r="C56" s="6">
        <v>122960.06</v>
      </c>
      <c r="D56" s="4">
        <v>10.201134986433805</v>
      </c>
      <c r="E56" s="5">
        <v>14.779245457916202</v>
      </c>
      <c r="F56" s="5">
        <v>11.276269432103932</v>
      </c>
      <c r="G56" s="5"/>
    </row>
    <row r="57" spans="1:28" x14ac:dyDescent="0.3">
      <c r="A57" s="4">
        <v>0.11666102958673752</v>
      </c>
      <c r="B57" s="8">
        <v>89162.66</v>
      </c>
      <c r="C57" s="6">
        <v>157587.5</v>
      </c>
      <c r="D57" s="4">
        <v>8.9869104465772978</v>
      </c>
      <c r="E57" s="5">
        <v>26.582301908617698</v>
      </c>
      <c r="F57" s="5">
        <v>20.618855471561748</v>
      </c>
      <c r="G57" s="5"/>
    </row>
    <row r="58" spans="1:28" x14ac:dyDescent="0.3">
      <c r="A58" s="4">
        <v>0.1379278031297457</v>
      </c>
      <c r="B58" s="8">
        <v>95406.87</v>
      </c>
      <c r="C58" s="6">
        <v>182052.49</v>
      </c>
      <c r="D58" s="4">
        <v>8.6270991954023817</v>
      </c>
      <c r="E58" s="5">
        <v>36.135879576329721</v>
      </c>
      <c r="F58" s="5">
        <v>26.318964242302467</v>
      </c>
      <c r="G58" s="5"/>
    </row>
    <row r="59" spans="1:28" x14ac:dyDescent="0.3">
      <c r="A59" s="4">
        <v>0.15868060925009997</v>
      </c>
      <c r="B59" s="8">
        <v>121066.81</v>
      </c>
      <c r="C59" s="6">
        <v>214497.79</v>
      </c>
      <c r="D59" s="4">
        <v>8.1305859141951995</v>
      </c>
      <c r="E59" s="5">
        <v>48.743541272841838</v>
      </c>
      <c r="F59" s="5">
        <v>28.113931473043685</v>
      </c>
      <c r="G59" s="5"/>
    </row>
    <row r="60" spans="1:28" x14ac:dyDescent="0.3">
      <c r="A60" s="4">
        <v>0.17277936490684298</v>
      </c>
      <c r="B60" s="8">
        <v>159515.93</v>
      </c>
      <c r="C60" s="6">
        <v>256143.84</v>
      </c>
      <c r="D60" s="4">
        <v>8.2294353828692497</v>
      </c>
      <c r="E60" s="5">
        <v>63.022613673582732</v>
      </c>
      <c r="F60" s="5">
        <v>27.74416950081412</v>
      </c>
      <c r="G60" s="5"/>
    </row>
    <row r="61" spans="1:28" x14ac:dyDescent="0.3">
      <c r="A61" s="4">
        <v>0.16256208747391854</v>
      </c>
      <c r="B61" s="8">
        <v>186331.46</v>
      </c>
      <c r="C61" s="6">
        <v>313905.90999999997</v>
      </c>
      <c r="D61" s="4">
        <v>7.4173038029134277</v>
      </c>
      <c r="E61" s="5">
        <v>71.651104340133941</v>
      </c>
      <c r="F61" s="5">
        <v>27.38625028752525</v>
      </c>
      <c r="G61" s="5"/>
    </row>
    <row r="62" spans="1:28" x14ac:dyDescent="0.3">
      <c r="A62" s="4">
        <v>0.21894458981731754</v>
      </c>
      <c r="B62" s="8">
        <v>39192.1</v>
      </c>
      <c r="C62" s="6">
        <v>42679.520000000004</v>
      </c>
      <c r="D62" s="4">
        <v>6.3262192264580284E-4</v>
      </c>
      <c r="E62" s="5">
        <v>7.7413675978394147</v>
      </c>
      <c r="F62" s="5">
        <v>23.842687684507847</v>
      </c>
      <c r="G62" s="5"/>
    </row>
    <row r="63" spans="1:28" x14ac:dyDescent="0.3">
      <c r="A63" s="4">
        <v>0.2216933944915781</v>
      </c>
      <c r="B63" s="8">
        <v>42767.6</v>
      </c>
      <c r="C63" s="6">
        <v>46412.93</v>
      </c>
      <c r="D63" s="4">
        <v>3.8782296226504121E-4</v>
      </c>
      <c r="E63" s="5">
        <v>8.4704875117309051</v>
      </c>
      <c r="F63" s="5">
        <v>24.05896052151629</v>
      </c>
      <c r="G63" s="5"/>
    </row>
    <row r="64" spans="1:28" x14ac:dyDescent="0.3">
      <c r="A64" s="4">
        <v>0.21464818870118538</v>
      </c>
      <c r="B64" s="8">
        <v>43448.94</v>
      </c>
      <c r="C64" s="6">
        <v>52510.11</v>
      </c>
      <c r="D64" s="4">
        <v>2.2852742071955285E-4</v>
      </c>
      <c r="E64" s="5">
        <v>9.2354334128135172</v>
      </c>
      <c r="F64" s="5">
        <v>25.941254263049917</v>
      </c>
      <c r="G64" s="5"/>
    </row>
    <row r="65" spans="1:7" x14ac:dyDescent="0.3">
      <c r="A65" s="4">
        <v>0.21292094620860327</v>
      </c>
      <c r="B65" s="8">
        <v>48339.58</v>
      </c>
      <c r="C65" s="6">
        <v>59140.87</v>
      </c>
      <c r="D65" s="4">
        <v>1.3527024543264244E-4</v>
      </c>
      <c r="E65" s="5">
        <v>10.272241528396393</v>
      </c>
      <c r="F65" s="5">
        <v>26.049729848707827</v>
      </c>
      <c r="G65" s="5"/>
    </row>
    <row r="66" spans="1:7" x14ac:dyDescent="0.3">
      <c r="A66" s="4">
        <v>0.23449464604648212</v>
      </c>
      <c r="B66" s="8">
        <v>49387.7</v>
      </c>
      <c r="C66" s="6">
        <v>65273.26</v>
      </c>
      <c r="D66" s="4">
        <v>9.1921255350200067E-5</v>
      </c>
      <c r="E66" s="5">
        <v>12.451985812141032</v>
      </c>
      <c r="F66" s="5">
        <v>30.991987883622844</v>
      </c>
      <c r="G66" s="5"/>
    </row>
    <row r="67" spans="1:7" x14ac:dyDescent="0.3">
      <c r="A67" s="4">
        <v>0.21809063995198466</v>
      </c>
      <c r="B67" s="8">
        <v>49257.45</v>
      </c>
      <c r="C67" s="6">
        <v>60347.34</v>
      </c>
      <c r="D67" s="4">
        <v>9.9424431963364087E-5</v>
      </c>
      <c r="E67" s="5">
        <v>10.692504549590536</v>
      </c>
      <c r="F67" s="5">
        <v>26.719186640802562</v>
      </c>
      <c r="G67" s="5"/>
    </row>
    <row r="68" spans="1:7" x14ac:dyDescent="0.3">
      <c r="A68" s="4">
        <v>0.24405605456807136</v>
      </c>
      <c r="B68" s="8">
        <v>60644.54</v>
      </c>
      <c r="C68" s="6">
        <v>62455.57</v>
      </c>
      <c r="D68" s="4">
        <v>8.0056910856789876E-5</v>
      </c>
      <c r="E68" s="5">
        <v>12.368975842509718</v>
      </c>
      <c r="F68" s="5">
        <v>25.134430898478243</v>
      </c>
      <c r="G68" s="5"/>
    </row>
    <row r="69" spans="1:7" x14ac:dyDescent="0.3">
      <c r="A69" s="4">
        <v>0.2775155497933201</v>
      </c>
      <c r="B69" s="8">
        <v>70919.03</v>
      </c>
      <c r="C69" s="6">
        <v>69155.260000000009</v>
      </c>
      <c r="D69" s="4">
        <v>4.3380648124235231E-5</v>
      </c>
      <c r="E69" s="5">
        <v>15.442275506919859</v>
      </c>
      <c r="F69" s="5">
        <v>27.061368436652334</v>
      </c>
      <c r="G69" s="5"/>
    </row>
    <row r="70" spans="1:7" x14ac:dyDescent="0.3">
      <c r="A70" s="4">
        <v>0.27458869636409999</v>
      </c>
      <c r="B70" s="8">
        <v>67931.94</v>
      </c>
      <c r="C70" s="6">
        <v>74507</v>
      </c>
      <c r="D70" s="4">
        <v>2.6843115411974713E-5</v>
      </c>
      <c r="E70" s="5">
        <v>16.387081788108645</v>
      </c>
      <c r="F70" s="5">
        <v>30.116584334261614</v>
      </c>
      <c r="G70" s="5"/>
    </row>
    <row r="71" spans="1:7" x14ac:dyDescent="0.3">
      <c r="A71" s="4">
        <v>0.49616743098141436</v>
      </c>
      <c r="B71" s="8">
        <v>75323.34</v>
      </c>
      <c r="C71" s="6">
        <v>70030.05</v>
      </c>
      <c r="D71" s="4">
        <v>0</v>
      </c>
      <c r="E71" s="5">
        <v>27.765983970081745</v>
      </c>
      <c r="F71" s="5">
        <v>46.129964497060271</v>
      </c>
      <c r="G71" s="5"/>
    </row>
    <row r="72" spans="1:7" x14ac:dyDescent="0.3">
      <c r="A72" s="4">
        <v>0.6315228966986155</v>
      </c>
      <c r="B72" s="8">
        <v>32186</v>
      </c>
      <c r="C72" s="6">
        <v>6573</v>
      </c>
      <c r="D72" s="4">
        <v>0</v>
      </c>
      <c r="E72" s="5">
        <v>19.182956698553539</v>
      </c>
      <c r="F72" s="5">
        <v>12.896911700739452</v>
      </c>
      <c r="G72" s="5"/>
    </row>
    <row r="73" spans="1:7" x14ac:dyDescent="0.3">
      <c r="A73" s="4">
        <v>0.66370106761565839</v>
      </c>
      <c r="B73" s="8">
        <v>33162</v>
      </c>
      <c r="C73" s="6">
        <v>6744</v>
      </c>
      <c r="D73" s="4">
        <v>0</v>
      </c>
      <c r="E73" s="5">
        <v>20.681051610220393</v>
      </c>
      <c r="F73" s="5">
        <v>13.497376515288584</v>
      </c>
      <c r="G73" s="5"/>
    </row>
    <row r="74" spans="1:7" x14ac:dyDescent="0.3">
      <c r="A74" s="4">
        <v>0.71611042439225381</v>
      </c>
      <c r="B74" s="8">
        <v>35545</v>
      </c>
      <c r="C74" s="6">
        <v>7281</v>
      </c>
      <c r="D74" s="4">
        <v>0</v>
      </c>
      <c r="E74" s="5">
        <v>24.088704088704091</v>
      </c>
      <c r="F74" s="5">
        <v>14.668729779153185</v>
      </c>
      <c r="G74" s="5"/>
    </row>
    <row r="75" spans="1:7" x14ac:dyDescent="0.3">
      <c r="A75" s="4">
        <v>0.76954366340409308</v>
      </c>
      <c r="B75" s="8">
        <v>39310</v>
      </c>
      <c r="C75" s="6">
        <v>7867</v>
      </c>
      <c r="D75" s="4">
        <v>0</v>
      </c>
      <c r="E75" s="5">
        <v>27.966923823162563</v>
      </c>
      <c r="F75" s="5">
        <v>15.40066140931061</v>
      </c>
      <c r="G75" s="5"/>
    </row>
    <row r="76" spans="1:7" x14ac:dyDescent="0.3">
      <c r="A76" s="4">
        <v>0.82002673471867782</v>
      </c>
      <c r="B76" s="8">
        <v>39783</v>
      </c>
      <c r="C76" s="6">
        <v>8229</v>
      </c>
      <c r="D76" s="4">
        <v>0</v>
      </c>
      <c r="E76" s="5">
        <v>31.171470805617147</v>
      </c>
      <c r="F76" s="5">
        <v>16.962018952819044</v>
      </c>
      <c r="G76" s="5"/>
    </row>
    <row r="77" spans="1:7" x14ac:dyDescent="0.3">
      <c r="A77" s="4">
        <v>0.16770147250073414</v>
      </c>
      <c r="B77" s="8">
        <v>47028</v>
      </c>
      <c r="C77" s="6">
        <v>47674</v>
      </c>
      <c r="D77" s="4">
        <v>0</v>
      </c>
      <c r="E77" s="5">
        <v>34.027068437180795</v>
      </c>
      <c r="F77" s="5">
        <v>17.000510334268945</v>
      </c>
      <c r="G77" s="5"/>
    </row>
    <row r="78" spans="1:7" x14ac:dyDescent="0.3">
      <c r="A78" s="4">
        <v>0.18097878151688715</v>
      </c>
      <c r="B78" s="8">
        <v>52446</v>
      </c>
      <c r="C78" s="6">
        <v>49061</v>
      </c>
      <c r="D78" s="4">
        <v>0</v>
      </c>
      <c r="E78" s="5">
        <v>37.789410963568265</v>
      </c>
      <c r="F78" s="5">
        <v>16.929794455249208</v>
      </c>
      <c r="G78" s="5"/>
    </row>
    <row r="79" spans="1:7" x14ac:dyDescent="0.3">
      <c r="A79" s="4">
        <v>0.201176844783715</v>
      </c>
      <c r="B79" s="8">
        <v>60580</v>
      </c>
      <c r="C79" s="6">
        <v>50304</v>
      </c>
      <c r="D79" s="4">
        <v>0</v>
      </c>
      <c r="E79" s="5">
        <v>43.071161048689135</v>
      </c>
      <c r="F79" s="5">
        <v>16.705183228788378</v>
      </c>
      <c r="G79" s="5"/>
    </row>
    <row r="80" spans="1:7" x14ac:dyDescent="0.3">
      <c r="A80" s="4">
        <v>0.20065211449099926</v>
      </c>
      <c r="B80" s="8">
        <v>61896</v>
      </c>
      <c r="C80" s="6">
        <v>51218</v>
      </c>
      <c r="D80" s="4">
        <v>0</v>
      </c>
      <c r="E80" s="5">
        <v>43.739359891045282</v>
      </c>
      <c r="F80" s="5">
        <v>16.603657748481325</v>
      </c>
      <c r="G80" s="5"/>
    </row>
    <row r="81" spans="1:7" x14ac:dyDescent="0.3">
      <c r="A81" s="4">
        <v>0.21555807457187967</v>
      </c>
      <c r="B81" s="8">
        <v>63121</v>
      </c>
      <c r="C81" s="6">
        <v>49402</v>
      </c>
      <c r="D81" s="4">
        <v>0</v>
      </c>
      <c r="E81" s="5">
        <v>45.32260810350698</v>
      </c>
      <c r="F81" s="5">
        <v>16.870772009315441</v>
      </c>
      <c r="G81" s="5"/>
    </row>
    <row r="82" spans="1:7" x14ac:dyDescent="0.3">
      <c r="A82" s="4">
        <v>0.30507596737683296</v>
      </c>
      <c r="B82" s="8">
        <v>9141.34</v>
      </c>
      <c r="C82" s="6">
        <v>3282.33</v>
      </c>
      <c r="D82" s="4">
        <v>1.0053833709590444E-2</v>
      </c>
      <c r="E82" s="5">
        <v>5.1937759336099587</v>
      </c>
      <c r="F82" s="5">
        <v>10.954192711353041</v>
      </c>
      <c r="G82" s="5"/>
    </row>
    <row r="83" spans="1:7" x14ac:dyDescent="0.3">
      <c r="A83" s="4">
        <v>0.35818089861690527</v>
      </c>
      <c r="B83" s="8">
        <v>10009.6</v>
      </c>
      <c r="C83" s="6">
        <v>3420.59</v>
      </c>
      <c r="D83" s="4">
        <v>1.0232152932681204E-2</v>
      </c>
      <c r="E83" s="5">
        <v>6.3547199170124484</v>
      </c>
      <c r="F83" s="5">
        <v>12.240149456521738</v>
      </c>
      <c r="G83" s="5"/>
    </row>
    <row r="84" spans="1:7" x14ac:dyDescent="0.3">
      <c r="A84" s="4">
        <v>0.43740983303118891</v>
      </c>
      <c r="B84" s="8">
        <v>11292.27</v>
      </c>
      <c r="C84" s="6">
        <v>3673.7400000000002</v>
      </c>
      <c r="D84" s="4">
        <v>9.5270759498494711E-3</v>
      </c>
      <c r="E84" s="5">
        <v>8.3346991701244804</v>
      </c>
      <c r="F84" s="5">
        <v>14.230354038647677</v>
      </c>
      <c r="G84" s="5"/>
    </row>
    <row r="85" spans="1:7" x14ac:dyDescent="0.3">
      <c r="A85" s="4">
        <v>1.0258329120784628</v>
      </c>
      <c r="B85" s="8">
        <v>12368.9</v>
      </c>
      <c r="C85" s="6">
        <v>1918.8700000000001</v>
      </c>
      <c r="D85" s="4">
        <v>2.7620422436121256E-2</v>
      </c>
      <c r="E85" s="5">
        <v>10.209751037344398</v>
      </c>
      <c r="F85" s="5">
        <v>15.914430547583052</v>
      </c>
      <c r="G85" s="5"/>
    </row>
    <row r="86" spans="1:7" x14ac:dyDescent="0.3">
      <c r="A86" s="4">
        <v>1.0312428813374666</v>
      </c>
      <c r="B86" s="8">
        <v>13350.03</v>
      </c>
      <c r="C86" s="6">
        <v>2019.3400000000001</v>
      </c>
      <c r="D86" s="4">
        <v>1.584676181326572E-2</v>
      </c>
      <c r="E86" s="5">
        <v>10.800985477178422</v>
      </c>
      <c r="F86" s="5">
        <v>15.598691538520884</v>
      </c>
      <c r="G86" s="5"/>
    </row>
    <row r="87" spans="1:7" x14ac:dyDescent="0.3">
      <c r="A87" s="4">
        <v>1.0883845908815337</v>
      </c>
      <c r="B87" s="8">
        <v>14740.59</v>
      </c>
      <c r="C87" s="6">
        <v>1946.38</v>
      </c>
      <c r="D87" s="4">
        <v>1.3871905794346428E-2</v>
      </c>
      <c r="E87" s="5">
        <v>10.987603734439833</v>
      </c>
      <c r="F87" s="5">
        <v>14.371270078063361</v>
      </c>
      <c r="G87" s="5"/>
    </row>
    <row r="88" spans="1:7" x14ac:dyDescent="0.3">
      <c r="A88" s="4">
        <v>0.97208407714798084</v>
      </c>
      <c r="B88" s="8">
        <v>16896.96</v>
      </c>
      <c r="C88" s="6">
        <v>2459.17</v>
      </c>
      <c r="D88" s="4">
        <v>1.0979314158842211E-2</v>
      </c>
      <c r="E88" s="5">
        <v>12.398962655601659</v>
      </c>
      <c r="F88" s="5">
        <v>14.14763365717857</v>
      </c>
      <c r="G88" s="5"/>
    </row>
    <row r="89" spans="1:7" x14ac:dyDescent="0.3">
      <c r="A89" s="4">
        <v>1.2193829625442731</v>
      </c>
      <c r="B89" s="8">
        <v>19126.3</v>
      </c>
      <c r="C89" s="6">
        <v>2459.17</v>
      </c>
      <c r="D89" s="4">
        <v>1.0979314158842211E-2</v>
      </c>
      <c r="E89" s="5">
        <v>15.553267634854771</v>
      </c>
      <c r="F89" s="5">
        <v>15.678254550017517</v>
      </c>
      <c r="G89" s="5"/>
    </row>
    <row r="90" spans="1:7" x14ac:dyDescent="0.3">
      <c r="A90" s="4">
        <v>1.1771833254013153</v>
      </c>
      <c r="B90" s="8">
        <v>24393.89</v>
      </c>
      <c r="C90" s="6">
        <v>3340.89</v>
      </c>
      <c r="D90" s="4">
        <v>7.4830359574843833E-3</v>
      </c>
      <c r="E90" s="5">
        <v>20.395374163771198</v>
      </c>
      <c r="F90" s="5">
        <v>16.122233887256197</v>
      </c>
      <c r="G90" s="5"/>
    </row>
    <row r="91" spans="1:7" x14ac:dyDescent="0.3">
      <c r="A91" s="4">
        <v>0.80504718069538406</v>
      </c>
      <c r="B91" s="8">
        <v>20201.560000000001</v>
      </c>
      <c r="C91" s="6">
        <v>4117.1499999999996</v>
      </c>
      <c r="D91" s="4">
        <v>5.3435021799060033E-3</v>
      </c>
      <c r="E91" s="5">
        <v>17.188715448840949</v>
      </c>
      <c r="F91" s="5">
        <v>16.407148754848635</v>
      </c>
      <c r="G91" s="5"/>
    </row>
    <row r="92" spans="1:7" x14ac:dyDescent="0.3">
      <c r="A92" s="4">
        <v>0.12845704710739519</v>
      </c>
      <c r="B92" s="8">
        <v>272583</v>
      </c>
      <c r="C92" s="6">
        <v>231556</v>
      </c>
      <c r="D92" s="4">
        <v>0.66919881151859595</v>
      </c>
      <c r="E92" s="5">
        <v>21.514125764874365</v>
      </c>
      <c r="F92" s="5">
        <v>10.912272592201274</v>
      </c>
      <c r="G92" s="5"/>
    </row>
    <row r="93" spans="1:7" x14ac:dyDescent="0.3">
      <c r="A93" s="4">
        <v>0.11338634631355016</v>
      </c>
      <c r="B93" s="8">
        <v>303954</v>
      </c>
      <c r="C93" s="6">
        <v>263709</v>
      </c>
      <c r="D93" s="4">
        <v>0.65331482808702013</v>
      </c>
      <c r="E93" s="5">
        <v>21.554620031429767</v>
      </c>
      <c r="F93" s="5">
        <v>9.8373438086026184</v>
      </c>
      <c r="G93" s="5"/>
    </row>
    <row r="94" spans="1:7" x14ac:dyDescent="0.3">
      <c r="A94" s="4">
        <v>0.12291060489393743</v>
      </c>
      <c r="B94" s="8">
        <v>390823</v>
      </c>
      <c r="C94" s="6">
        <v>293506</v>
      </c>
      <c r="D94" s="4">
        <v>0.56007372932750954</v>
      </c>
      <c r="E94" s="5">
        <v>26.694736530535224</v>
      </c>
      <c r="F94" s="5">
        <v>9.2305212333972158</v>
      </c>
      <c r="G94" s="5"/>
    </row>
    <row r="95" spans="1:7" x14ac:dyDescent="0.3">
      <c r="A95" s="4">
        <v>0.10226497757754861</v>
      </c>
      <c r="B95" s="8">
        <v>568337</v>
      </c>
      <c r="C95" s="6">
        <v>387112</v>
      </c>
      <c r="D95" s="4">
        <v>0.58470158507098724</v>
      </c>
      <c r="E95" s="5">
        <v>29.275435197373287</v>
      </c>
      <c r="F95" s="5">
        <v>6.9655855592720517</v>
      </c>
      <c r="G95" s="5"/>
    </row>
    <row r="96" spans="1:7" x14ac:dyDescent="0.3">
      <c r="A96" s="4">
        <v>8.7615714457461163E-2</v>
      </c>
      <c r="B96" s="8">
        <v>596679</v>
      </c>
      <c r="C96" s="6">
        <v>449166</v>
      </c>
      <c r="D96" s="4">
        <v>0.48193763552895813</v>
      </c>
      <c r="E96" s="5">
        <v>29.100024401606071</v>
      </c>
      <c r="F96" s="5">
        <v>6.5955061264096777</v>
      </c>
      <c r="G96" s="5"/>
    </row>
    <row r="97" spans="1:7" x14ac:dyDescent="0.3">
      <c r="A97" s="4">
        <v>7.0165616448529797E-2</v>
      </c>
      <c r="B97" s="8">
        <v>466307</v>
      </c>
      <c r="C97" s="6">
        <v>700172</v>
      </c>
      <c r="D97" s="4">
        <v>0.260678804636575</v>
      </c>
      <c r="E97" s="5">
        <v>38.747840901024531</v>
      </c>
      <c r="F97" s="5">
        <v>10.535548469141574</v>
      </c>
      <c r="G97" s="5"/>
    </row>
    <row r="98" spans="1:7" x14ac:dyDescent="0.3">
      <c r="A98" s="4">
        <v>7.787834275194519E-2</v>
      </c>
      <c r="B98" s="8">
        <v>694673</v>
      </c>
      <c r="C98" s="6">
        <v>779485</v>
      </c>
      <c r="D98" s="4">
        <v>0.28850202377210593</v>
      </c>
      <c r="E98" s="5">
        <v>44.867625537701961</v>
      </c>
      <c r="F98" s="5">
        <v>8.7386439375072875</v>
      </c>
      <c r="G98" s="5"/>
    </row>
    <row r="99" spans="1:7" x14ac:dyDescent="0.3">
      <c r="A99" s="4">
        <v>9.3175875016762777E-2</v>
      </c>
      <c r="B99" s="8">
        <v>876396</v>
      </c>
      <c r="C99" s="6">
        <v>715872</v>
      </c>
      <c r="D99" s="4">
        <v>0.41351386840105492</v>
      </c>
      <c r="E99" s="5">
        <v>49.294962752749207</v>
      </c>
      <c r="F99" s="5">
        <v>7.6109429983706001</v>
      </c>
      <c r="G99" s="5"/>
    </row>
    <row r="100" spans="1:7" x14ac:dyDescent="0.3">
      <c r="A100" s="4">
        <v>8.7741231359036956E-2</v>
      </c>
      <c r="B100" s="8">
        <v>899041</v>
      </c>
      <c r="C100" s="6">
        <v>793481</v>
      </c>
      <c r="D100" s="4">
        <v>0.28067716807333759</v>
      </c>
      <c r="E100" s="5">
        <v>51.45143887550438</v>
      </c>
      <c r="F100" s="5">
        <v>7.7439182417709542</v>
      </c>
      <c r="G100" s="5"/>
    </row>
    <row r="101" spans="1:7" x14ac:dyDescent="0.3">
      <c r="A101" s="4">
        <v>8.259962049335863E-2</v>
      </c>
      <c r="B101" s="2">
        <v>962820</v>
      </c>
      <c r="C101" s="6">
        <v>843200</v>
      </c>
      <c r="D101" s="4">
        <v>0.28095232447817836</v>
      </c>
      <c r="E101" s="5">
        <v>51.467588897756492</v>
      </c>
      <c r="F101" s="5">
        <v>7.2337508568579807</v>
      </c>
      <c r="G101" s="5"/>
    </row>
    <row r="102" spans="1:7" x14ac:dyDescent="0.3">
      <c r="A102" s="4">
        <v>6.5087574345227148E-2</v>
      </c>
      <c r="B102" s="8">
        <v>124035.71</v>
      </c>
      <c r="C102" s="6">
        <v>197813.64</v>
      </c>
      <c r="D102" s="4">
        <v>0.20336818027310957</v>
      </c>
      <c r="E102" s="5">
        <v>10.032735405043169</v>
      </c>
      <c r="F102" s="5">
        <v>10.380244527966985</v>
      </c>
      <c r="G102" s="5"/>
    </row>
    <row r="103" spans="1:7" x14ac:dyDescent="0.3">
      <c r="A103" s="4">
        <v>0.12562297689093851</v>
      </c>
      <c r="B103" s="8">
        <v>282506.11</v>
      </c>
      <c r="C103" s="6">
        <v>194385.22</v>
      </c>
      <c r="D103" s="4">
        <v>0.27148154576772865</v>
      </c>
      <c r="E103" s="5">
        <v>19.028184708412557</v>
      </c>
      <c r="F103" s="5">
        <v>8.6437953501253482</v>
      </c>
      <c r="G103" s="5"/>
    </row>
    <row r="104" spans="1:7" x14ac:dyDescent="0.3">
      <c r="A104" s="4">
        <v>0.10835234750030304</v>
      </c>
      <c r="B104" s="8">
        <v>322705.76</v>
      </c>
      <c r="C104" s="6">
        <v>204018.93</v>
      </c>
      <c r="D104" s="4">
        <v>0.26970536508548498</v>
      </c>
      <c r="E104" s="5">
        <v>17.225578967054204</v>
      </c>
      <c r="F104" s="5">
        <v>6.8501814160367021</v>
      </c>
      <c r="G104" s="5"/>
    </row>
    <row r="105" spans="1:7" x14ac:dyDescent="0.3">
      <c r="A105" s="4">
        <v>0.14080756578075471</v>
      </c>
      <c r="B105" s="8">
        <v>421623.93</v>
      </c>
      <c r="C105" s="6">
        <v>216934.65</v>
      </c>
      <c r="D105" s="4">
        <v>0.24047795038736319</v>
      </c>
      <c r="E105" s="5">
        <v>24.280851807985503</v>
      </c>
      <c r="F105" s="5">
        <v>7.2448544369860608</v>
      </c>
      <c r="G105" s="5"/>
    </row>
    <row r="106" spans="1:7" x14ac:dyDescent="0.3">
      <c r="A106" s="4">
        <v>5.2673611415833675E-2</v>
      </c>
      <c r="B106" s="8">
        <v>396727.91</v>
      </c>
      <c r="C106" s="6">
        <v>205104.6</v>
      </c>
      <c r="D106" s="4">
        <v>0.35558441887700226</v>
      </c>
      <c r="E106" s="5">
        <v>8.5877125346772338</v>
      </c>
      <c r="F106" s="5">
        <v>2.7231761939814119</v>
      </c>
      <c r="G106" s="5"/>
    </row>
    <row r="107" spans="1:7" x14ac:dyDescent="0.3">
      <c r="A107" s="4">
        <v>7.3781912190727342E-2</v>
      </c>
      <c r="B107" s="8">
        <v>303848.90999999997</v>
      </c>
      <c r="C107" s="6">
        <v>220980.99000000002</v>
      </c>
      <c r="D107" s="4">
        <v>0.35822990927862164</v>
      </c>
      <c r="E107" s="5">
        <v>12.960263268761476</v>
      </c>
      <c r="F107" s="5">
        <v>5.3659563893120437</v>
      </c>
      <c r="G107" s="5"/>
    </row>
    <row r="108" spans="1:7" x14ac:dyDescent="0.3">
      <c r="A108" s="4">
        <v>0.17542042206771399</v>
      </c>
      <c r="B108" s="8">
        <v>491246.24</v>
      </c>
      <c r="C108" s="6">
        <v>259502.91</v>
      </c>
      <c r="D108" s="4">
        <v>0.33927557883647624</v>
      </c>
      <c r="E108" s="5">
        <v>36.18523405642155</v>
      </c>
      <c r="F108" s="5">
        <v>9.2666582038368368</v>
      </c>
      <c r="G108" s="5"/>
    </row>
    <row r="109" spans="1:7" x14ac:dyDescent="0.3">
      <c r="A109" s="4">
        <v>0.12628120776504889</v>
      </c>
      <c r="B109" s="8">
        <v>632291.18000000005</v>
      </c>
      <c r="C109" s="6">
        <v>280647.3</v>
      </c>
      <c r="D109" s="4">
        <v>0.35047549005459877</v>
      </c>
      <c r="E109" s="5">
        <v>28.171410856656841</v>
      </c>
      <c r="F109" s="5">
        <v>5.6050884657287172</v>
      </c>
      <c r="G109" s="5"/>
    </row>
    <row r="110" spans="1:7" x14ac:dyDescent="0.3">
      <c r="A110" s="4">
        <v>0.14493789580453387</v>
      </c>
      <c r="B110" s="8">
        <v>601580.88</v>
      </c>
      <c r="C110" s="6">
        <v>339068.88</v>
      </c>
      <c r="D110" s="4">
        <v>0.2859920379599567</v>
      </c>
      <c r="E110" s="5">
        <v>39.06419560741795</v>
      </c>
      <c r="F110" s="5">
        <v>8.1691309737104678</v>
      </c>
      <c r="G110" s="5"/>
    </row>
    <row r="111" spans="1:7" x14ac:dyDescent="0.3">
      <c r="A111" s="4">
        <v>0.10547859704831533</v>
      </c>
      <c r="B111" s="8">
        <v>612065.37</v>
      </c>
      <c r="C111" s="6">
        <v>343440.48000000004</v>
      </c>
      <c r="D111" s="4">
        <v>0.28672799432379081</v>
      </c>
      <c r="E111" s="5">
        <v>28.7955136205019</v>
      </c>
      <c r="F111" s="5">
        <v>5.9185867679460449</v>
      </c>
      <c r="G111" s="5"/>
    </row>
    <row r="112" spans="1:7" x14ac:dyDescent="0.3">
      <c r="A112" s="4">
        <v>0.11794792891292637</v>
      </c>
      <c r="B112" s="8">
        <v>73396.320000000007</v>
      </c>
      <c r="C112" s="6">
        <v>91575.579999999987</v>
      </c>
      <c r="D112" s="4">
        <v>0.99595328798354332</v>
      </c>
      <c r="E112" s="5">
        <v>10.91620681988155</v>
      </c>
      <c r="F112" s="5">
        <v>14.716201030242388</v>
      </c>
      <c r="G112" s="5"/>
    </row>
    <row r="113" spans="1:7" x14ac:dyDescent="0.3">
      <c r="A113" s="4">
        <v>0.10956517721842696</v>
      </c>
      <c r="B113" s="8">
        <v>82042.490000000005</v>
      </c>
      <c r="C113" s="6">
        <v>97838.01999999999</v>
      </c>
      <c r="D113" s="4">
        <v>1.0637480194304834</v>
      </c>
      <c r="E113" s="5">
        <v>10.833828552948072</v>
      </c>
      <c r="F113" s="5">
        <v>13.065961308585342</v>
      </c>
      <c r="G113" s="5"/>
    </row>
    <row r="114" spans="1:7" x14ac:dyDescent="0.3">
      <c r="A114" s="4">
        <v>0.10181147850685189</v>
      </c>
      <c r="B114" s="8">
        <v>88083.31</v>
      </c>
      <c r="C114" s="6">
        <v>103563.47</v>
      </c>
      <c r="D114" s="4">
        <v>1.1275790585232419</v>
      </c>
      <c r="E114" s="5">
        <v>10.656267054757141</v>
      </c>
      <c r="F114" s="5">
        <v>11.970428904181736</v>
      </c>
      <c r="G114" s="5"/>
    </row>
    <row r="115" spans="1:7" x14ac:dyDescent="0.3">
      <c r="A115" s="4">
        <v>0.12335800580856696</v>
      </c>
      <c r="B115" s="8">
        <v>100286.54</v>
      </c>
      <c r="C115" s="6">
        <v>111356.20999999999</v>
      </c>
      <c r="D115" s="4">
        <v>1.3206627632172467</v>
      </c>
      <c r="E115" s="5">
        <v>13.883006892648515</v>
      </c>
      <c r="F115" s="5">
        <v>13.697431380123396</v>
      </c>
      <c r="G115" s="5"/>
    </row>
    <row r="116" spans="1:7" x14ac:dyDescent="0.3">
      <c r="A116" s="4">
        <v>9.7612857579942494E-2</v>
      </c>
      <c r="B116" s="8">
        <v>109464.04</v>
      </c>
      <c r="C116" s="6">
        <v>118839.16</v>
      </c>
      <c r="D116" s="4">
        <v>1.4811615969012235</v>
      </c>
      <c r="E116" s="5">
        <v>11.723798839771188</v>
      </c>
      <c r="F116" s="5">
        <v>10.597297523460673</v>
      </c>
      <c r="G116" s="5"/>
    </row>
    <row r="117" spans="1:7" x14ac:dyDescent="0.3">
      <c r="A117" s="4">
        <v>0.11638943912710246</v>
      </c>
      <c r="B117" s="8">
        <v>111531.15</v>
      </c>
      <c r="C117" s="6">
        <v>125738.47</v>
      </c>
      <c r="D117" s="4">
        <v>1.4358056050785413</v>
      </c>
      <c r="E117" s="5">
        <v>15.092381944372828</v>
      </c>
      <c r="F117" s="5">
        <v>13.121562899692149</v>
      </c>
      <c r="G117" s="5"/>
    </row>
    <row r="118" spans="1:7" x14ac:dyDescent="0.3">
      <c r="A118" s="4">
        <v>0.12318415669095054</v>
      </c>
      <c r="B118" s="8">
        <v>132669.28</v>
      </c>
      <c r="C118" s="6">
        <v>135373.74000000002</v>
      </c>
      <c r="D118" s="4">
        <v>1.3434732615055178</v>
      </c>
      <c r="E118" s="5">
        <v>17.197500180473771</v>
      </c>
      <c r="F118" s="5">
        <v>12.569526268628278</v>
      </c>
      <c r="G118" s="5"/>
    </row>
    <row r="119" spans="1:7" x14ac:dyDescent="0.3">
      <c r="A119" s="4">
        <v>0.11503322911619983</v>
      </c>
      <c r="B119" s="8">
        <v>176207.18</v>
      </c>
      <c r="C119" s="6">
        <v>147023.17000000001</v>
      </c>
      <c r="D119" s="4">
        <v>1.2779210242848116</v>
      </c>
      <c r="E119" s="5">
        <v>17.441552280672806</v>
      </c>
      <c r="F119" s="5">
        <v>9.5981049126374991</v>
      </c>
      <c r="G119" s="5"/>
    </row>
    <row r="120" spans="1:7" x14ac:dyDescent="0.3">
      <c r="A120" s="4">
        <v>0.12950024600323304</v>
      </c>
      <c r="B120" s="8">
        <v>178524.79999999999</v>
      </c>
      <c r="C120" s="6">
        <v>160709.27000000002</v>
      </c>
      <c r="D120" s="4">
        <v>1.1835969387453504</v>
      </c>
      <c r="E120" s="5">
        <v>21.462858498251983</v>
      </c>
      <c r="F120" s="5">
        <v>11.657702459266165</v>
      </c>
      <c r="G120" s="5"/>
    </row>
    <row r="121" spans="1:7" x14ac:dyDescent="0.3">
      <c r="A121" s="4">
        <v>0.12724676695686601</v>
      </c>
      <c r="B121" s="8">
        <v>188138.06</v>
      </c>
      <c r="C121" s="6">
        <v>184071.16</v>
      </c>
      <c r="D121" s="4">
        <v>1.0922623620126042</v>
      </c>
      <c r="E121" s="5">
        <v>24.15508368826508</v>
      </c>
      <c r="F121" s="5">
        <v>12.449612800302075</v>
      </c>
      <c r="G121" s="5"/>
    </row>
    <row r="122" spans="1:7" x14ac:dyDescent="0.3">
      <c r="A122" s="4">
        <v>0.14666189417143824</v>
      </c>
      <c r="B122" s="8">
        <v>273045.59999999998</v>
      </c>
      <c r="C122" s="6">
        <v>78952.409999999989</v>
      </c>
      <c r="D122" s="4">
        <v>0.63975247874004104</v>
      </c>
      <c r="E122" s="5">
        <v>40.105673316708227</v>
      </c>
      <c r="F122" s="5">
        <v>4.2407971415763521</v>
      </c>
      <c r="G122" s="5"/>
    </row>
    <row r="123" spans="1:7" x14ac:dyDescent="0.3">
      <c r="A123" s="4">
        <v>0.1283864510783235</v>
      </c>
      <c r="B123" s="8">
        <v>269692.51</v>
      </c>
      <c r="C123" s="6">
        <v>58061.89</v>
      </c>
      <c r="D123" s="4">
        <v>1.0442133385599401</v>
      </c>
      <c r="E123" s="5">
        <v>25.817753610639695</v>
      </c>
      <c r="F123" s="5">
        <v>2.764021885516954</v>
      </c>
      <c r="G123" s="5"/>
    </row>
    <row r="124" spans="1:7" x14ac:dyDescent="0.3">
      <c r="A124" s="4">
        <v>9.4195817554843228E-2</v>
      </c>
      <c r="B124" s="8">
        <v>291550.48</v>
      </c>
      <c r="C124" s="6">
        <v>95427.91</v>
      </c>
      <c r="D124" s="4">
        <v>0.6413218103592544</v>
      </c>
      <c r="E124" s="5">
        <v>31.132580611644094</v>
      </c>
      <c r="F124" s="5">
        <v>3.0831401821049997</v>
      </c>
      <c r="G124" s="5"/>
    </row>
    <row r="125" spans="1:7" x14ac:dyDescent="0.3">
      <c r="A125" s="4">
        <v>-0.47900366835516911</v>
      </c>
      <c r="B125" s="8">
        <v>301938.40000000002</v>
      </c>
      <c r="C125" s="6">
        <v>60179.56</v>
      </c>
      <c r="D125" s="4">
        <v>1.1767782948230263</v>
      </c>
      <c r="E125" s="5">
        <v>-99.838014754268684</v>
      </c>
      <c r="F125" s="5">
        <v>-9.5470566181711227</v>
      </c>
      <c r="G125" s="5"/>
    </row>
    <row r="126" spans="1:7" x14ac:dyDescent="0.3">
      <c r="A126" s="4">
        <v>-0.19136225907610721</v>
      </c>
      <c r="B126" s="8">
        <v>261067.97</v>
      </c>
      <c r="C126" s="6">
        <v>63078.53</v>
      </c>
      <c r="D126" s="4">
        <v>1.3208297656904815</v>
      </c>
      <c r="E126" s="5">
        <v>-39.076885723535128</v>
      </c>
      <c r="F126" s="5">
        <v>-4.6236426475450054</v>
      </c>
      <c r="G126" s="5"/>
    </row>
    <row r="127" spans="1:7" x14ac:dyDescent="0.3">
      <c r="A127" s="4">
        <v>-0.24347852687001145</v>
      </c>
      <c r="B127" s="8">
        <v>249794.75</v>
      </c>
      <c r="C127" s="6">
        <v>55246.720000000001</v>
      </c>
      <c r="D127" s="4">
        <v>1.6854032239380003</v>
      </c>
      <c r="E127" s="5">
        <v>-40.512574164985097</v>
      </c>
      <c r="F127" s="5">
        <v>-5.3849770661713263</v>
      </c>
      <c r="G127" s="5"/>
    </row>
    <row r="128" spans="1:7" x14ac:dyDescent="0.3">
      <c r="A128" s="4">
        <v>-0.25675833975894746</v>
      </c>
      <c r="B128" s="8">
        <v>278453.62</v>
      </c>
      <c r="C128" s="6">
        <v>44561.24</v>
      </c>
      <c r="D128" s="4">
        <v>2.1938123804454275</v>
      </c>
      <c r="E128" s="5">
        <v>-34.454994428885477</v>
      </c>
      <c r="F128" s="5">
        <v>-4.1089320368684739</v>
      </c>
      <c r="G128" s="5"/>
    </row>
    <row r="129" spans="1:7" x14ac:dyDescent="0.3">
      <c r="A129" s="4">
        <v>5.326996131441411E-2</v>
      </c>
      <c r="B129" s="8">
        <v>345966.97</v>
      </c>
      <c r="C129" s="6">
        <v>45321.789999999994</v>
      </c>
      <c r="D129" s="4">
        <v>1.9570277343414726</v>
      </c>
      <c r="E129" s="5">
        <v>7.2691114924878812</v>
      </c>
      <c r="F129" s="5">
        <v>0.69783829363826266</v>
      </c>
      <c r="G129" s="5"/>
    </row>
    <row r="130" spans="1:7" x14ac:dyDescent="0.3">
      <c r="A130" s="4">
        <v>0.36975670646977082</v>
      </c>
      <c r="B130" s="2">
        <v>434016</v>
      </c>
      <c r="C130">
        <v>84918</v>
      </c>
      <c r="D130" s="4">
        <v>0.73187074589604084</v>
      </c>
      <c r="E130" s="5">
        <v>94.470018353040288</v>
      </c>
      <c r="F130" s="5">
        <v>7.2345259160952597</v>
      </c>
      <c r="G130" s="5"/>
    </row>
    <row r="131" spans="1:7" x14ac:dyDescent="0.3">
      <c r="A131" s="4">
        <v>0.23961633833861412</v>
      </c>
      <c r="B131" s="2">
        <v>439695</v>
      </c>
      <c r="C131">
        <v>116144</v>
      </c>
      <c r="D131" s="4">
        <v>0.34626842540294805</v>
      </c>
      <c r="E131" s="5">
        <v>75.598294080895343</v>
      </c>
      <c r="F131" s="5">
        <v>6.3293874162771919</v>
      </c>
      <c r="G131" s="5"/>
    </row>
    <row r="132" spans="1:7" x14ac:dyDescent="0.3">
      <c r="A132" s="4">
        <v>0.11884164098344256</v>
      </c>
      <c r="B132" s="8">
        <v>75841.42</v>
      </c>
      <c r="C132" s="10">
        <v>26492.65</v>
      </c>
      <c r="D132" s="4">
        <v>0.89077536599773899</v>
      </c>
      <c r="E132" s="5">
        <v>25.345596522299147</v>
      </c>
      <c r="F132" s="5">
        <v>6.3293874162771919</v>
      </c>
      <c r="G132" s="5"/>
    </row>
    <row r="133" spans="1:7" x14ac:dyDescent="0.3">
      <c r="A133" s="4">
        <v>0.12418844334593228</v>
      </c>
      <c r="B133" s="8">
        <v>83773.05</v>
      </c>
      <c r="C133" s="10">
        <v>29777.649999999998</v>
      </c>
      <c r="D133" s="4">
        <v>1.0116647888601016</v>
      </c>
      <c r="E133" s="5">
        <v>29.770085332474643</v>
      </c>
      <c r="F133" s="5">
        <v>4.1513331369586695</v>
      </c>
      <c r="G133" s="5"/>
    </row>
    <row r="134" spans="1:7" x14ac:dyDescent="0.3">
      <c r="A134" s="4">
        <v>0.20422436974492861</v>
      </c>
      <c r="B134" s="8">
        <v>92093.95</v>
      </c>
      <c r="C134" s="10">
        <v>36775.189999999995</v>
      </c>
      <c r="D134" s="4">
        <v>0.91934263290006124</v>
      </c>
      <c r="E134" s="5">
        <v>60.411759974259979</v>
      </c>
      <c r="F134" s="5">
        <v>4.4143552132815982</v>
      </c>
      <c r="G134" s="5"/>
    </row>
    <row r="135" spans="1:7" x14ac:dyDescent="0.3">
      <c r="A135" s="4">
        <v>0.13294163754417146</v>
      </c>
      <c r="B135" s="8">
        <v>104720.68</v>
      </c>
      <c r="C135" s="10">
        <v>39983.409999999996</v>
      </c>
      <c r="D135" s="4">
        <v>1.0886014974710763</v>
      </c>
      <c r="E135" s="5">
        <v>42.756274131274132</v>
      </c>
      <c r="F135" s="5">
        <v>8.1551393984078224</v>
      </c>
      <c r="G135" s="5"/>
    </row>
    <row r="136" spans="1:7" x14ac:dyDescent="0.3">
      <c r="A136" s="4">
        <v>3.1784386570596294E-3</v>
      </c>
      <c r="B136" s="8">
        <v>75381.929999999993</v>
      </c>
      <c r="C136" s="10">
        <v>39969.31</v>
      </c>
      <c r="D136" s="4">
        <v>1.308453911263417</v>
      </c>
      <c r="E136" s="5">
        <v>1.0218790218790219</v>
      </c>
      <c r="F136" s="5">
        <v>5.0758455731952852</v>
      </c>
      <c r="G136" s="5"/>
    </row>
    <row r="137" spans="1:7" x14ac:dyDescent="0.3">
      <c r="A137" s="4">
        <v>4.3588415349748159E-2</v>
      </c>
      <c r="B137" s="8">
        <v>74277.78</v>
      </c>
      <c r="C137" s="10">
        <v>41581.919999999998</v>
      </c>
      <c r="D137" s="4">
        <v>1.2692535602011643</v>
      </c>
      <c r="E137" s="5">
        <v>14.579231016731018</v>
      </c>
      <c r="F137" s="5">
        <v>0.16852845237578823</v>
      </c>
      <c r="G137" s="5"/>
    </row>
    <row r="138" spans="1:7" x14ac:dyDescent="0.3">
      <c r="A138" s="4">
        <v>0.13957876723375431</v>
      </c>
      <c r="B138" s="8">
        <v>90170.57</v>
      </c>
      <c r="C138" s="10">
        <v>47122.64</v>
      </c>
      <c r="D138" s="4">
        <v>1.0318819149351564</v>
      </c>
      <c r="E138" s="5">
        <v>52.906370656370655</v>
      </c>
      <c r="F138" s="5">
        <v>2.4401510115138065</v>
      </c>
      <c r="G138" s="5"/>
    </row>
    <row r="139" spans="1:7" x14ac:dyDescent="0.3">
      <c r="A139" s="4">
        <v>0.18240673997472581</v>
      </c>
      <c r="B139" s="8">
        <v>121268.55</v>
      </c>
      <c r="C139" s="10">
        <v>56365.79</v>
      </c>
      <c r="D139" s="4">
        <v>0.9762481817428621</v>
      </c>
      <c r="E139" s="5">
        <v>82.681946119823081</v>
      </c>
      <c r="F139" s="5">
        <v>7.2943089968267909</v>
      </c>
      <c r="G139" s="5"/>
    </row>
    <row r="140" spans="1:7" x14ac:dyDescent="0.3">
      <c r="A140" s="4">
        <v>0.1702454504457207</v>
      </c>
      <c r="B140" s="8">
        <v>139078.26999999999</v>
      </c>
      <c r="C140" s="10">
        <v>66190.55</v>
      </c>
      <c r="D140" s="4">
        <v>1.0536398322721294</v>
      </c>
      <c r="E140" s="5">
        <v>90.620345798150382</v>
      </c>
      <c r="F140" s="5">
        <v>8.4782905378187507</v>
      </c>
      <c r="G140" s="5"/>
    </row>
    <row r="141" spans="1:7" x14ac:dyDescent="0.3">
      <c r="A141" s="4">
        <v>0.1678256921247277</v>
      </c>
      <c r="B141" s="8">
        <v>159210.82</v>
      </c>
      <c r="C141" s="10">
        <v>77038.86</v>
      </c>
      <c r="D141" s="4">
        <v>1.087529072989917</v>
      </c>
      <c r="E141" s="5">
        <v>103.97346200241255</v>
      </c>
      <c r="F141" s="5">
        <v>8.1023728581035712</v>
      </c>
      <c r="G141" s="5"/>
    </row>
    <row r="142" spans="1:7" x14ac:dyDescent="0.3">
      <c r="A142" s="4">
        <v>0.17955317481055658</v>
      </c>
      <c r="B142" s="8">
        <v>57589</v>
      </c>
      <c r="C142" s="10">
        <v>30616</v>
      </c>
      <c r="D142" s="4">
        <v>0</v>
      </c>
      <c r="E142" s="5">
        <v>181.96623634558091</v>
      </c>
      <c r="F142" s="5">
        <v>9.5455729392765978</v>
      </c>
      <c r="G142" s="5"/>
    </row>
    <row r="143" spans="1:7" x14ac:dyDescent="0.3">
      <c r="A143" s="4">
        <v>0.20255912998211736</v>
      </c>
      <c r="B143" s="8">
        <v>68085</v>
      </c>
      <c r="C143" s="10">
        <v>37075.1</v>
      </c>
      <c r="D143" s="4">
        <v>0</v>
      </c>
      <c r="E143" s="5">
        <v>248.58987090367427</v>
      </c>
      <c r="F143" s="5">
        <v>11.030182859660718</v>
      </c>
      <c r="G143" s="5"/>
    </row>
    <row r="144" spans="1:7" x14ac:dyDescent="0.3">
      <c r="A144" s="4">
        <v>0.18515298617931644</v>
      </c>
      <c r="B144" s="8">
        <v>79809.399999999994</v>
      </c>
      <c r="C144" s="10">
        <v>42559.4</v>
      </c>
      <c r="D144" s="4">
        <v>2.3496571850167061E-4</v>
      </c>
      <c r="E144" s="5">
        <v>260.84078119827871</v>
      </c>
      <c r="F144" s="5">
        <v>9.8735236701441185</v>
      </c>
      <c r="G144" s="5"/>
    </row>
    <row r="145" spans="1:7" x14ac:dyDescent="0.3">
      <c r="A145" s="4">
        <v>0.16242851773439707</v>
      </c>
      <c r="B145" s="8">
        <v>86068.5</v>
      </c>
      <c r="C145" s="10">
        <v>47092.1</v>
      </c>
      <c r="D145" s="4">
        <v>1.6987987369431392E-4</v>
      </c>
      <c r="E145" s="5">
        <v>253.19761668321749</v>
      </c>
      <c r="F145" s="5">
        <v>8.8872235486850588</v>
      </c>
      <c r="G145" s="5"/>
    </row>
    <row r="146" spans="1:7" x14ac:dyDescent="0.3">
      <c r="A146" s="4">
        <v>0.11486855685750713</v>
      </c>
      <c r="B146" s="8">
        <v>75660</v>
      </c>
      <c r="C146" s="10">
        <v>49413</v>
      </c>
      <c r="D146" s="4">
        <v>1.011879464918139E-4</v>
      </c>
      <c r="E146" s="5">
        <v>187.88480635551142</v>
      </c>
      <c r="F146" s="5">
        <v>7.5019825535289453</v>
      </c>
      <c r="G146" s="5"/>
    </row>
    <row r="147" spans="1:7" x14ac:dyDescent="0.3">
      <c r="A147" s="4">
        <v>8.3600949322483936E-2</v>
      </c>
      <c r="B147" s="8">
        <v>70372</v>
      </c>
      <c r="C147" s="10">
        <v>52500.6</v>
      </c>
      <c r="D147" s="4">
        <v>5.7142204089096124E-5</v>
      </c>
      <c r="E147" s="5">
        <v>145.28632903012249</v>
      </c>
      <c r="F147" s="5">
        <v>6.2369976695276534</v>
      </c>
      <c r="G147" s="5"/>
    </row>
    <row r="148" spans="1:7" x14ac:dyDescent="0.3">
      <c r="A148" s="4">
        <v>7.011123460471505E-2</v>
      </c>
      <c r="B148" s="8">
        <v>88329.8</v>
      </c>
      <c r="C148" s="10">
        <v>55333.5</v>
      </c>
      <c r="D148" s="4">
        <v>0</v>
      </c>
      <c r="E148" s="5">
        <v>128.41774246938098</v>
      </c>
      <c r="F148" s="5">
        <v>4.3920624749518282</v>
      </c>
      <c r="G148" s="5"/>
    </row>
    <row r="149" spans="1:7" x14ac:dyDescent="0.3">
      <c r="A149" s="4">
        <v>0.11077316146605506</v>
      </c>
      <c r="B149" s="8">
        <v>118409.9</v>
      </c>
      <c r="C149" s="10">
        <v>74600.2</v>
      </c>
      <c r="D149" s="4">
        <v>0</v>
      </c>
      <c r="E149" s="5">
        <v>273.54187355180403</v>
      </c>
      <c r="F149" s="5">
        <v>6.9788928121719565</v>
      </c>
      <c r="G149" s="5"/>
    </row>
    <row r="150" spans="1:7" x14ac:dyDescent="0.3">
      <c r="A150" s="4">
        <v>0.15750618898594049</v>
      </c>
      <c r="B150" s="8">
        <v>141858.20000000001</v>
      </c>
      <c r="C150" s="10">
        <v>85636</v>
      </c>
      <c r="D150" s="4">
        <v>0</v>
      </c>
      <c r="E150" s="5">
        <v>429.01399491094151</v>
      </c>
      <c r="F150" s="5">
        <v>9.508227229726586</v>
      </c>
      <c r="G150" s="5"/>
    </row>
    <row r="151" spans="1:7" x14ac:dyDescent="0.3">
      <c r="A151" s="4">
        <v>0.15066723884792069</v>
      </c>
      <c r="B151" s="2">
        <v>152913</v>
      </c>
      <c r="C151" s="10">
        <v>96239.9</v>
      </c>
      <c r="D151" s="4">
        <v>0</v>
      </c>
      <c r="E151" s="5">
        <v>461.20229007633588</v>
      </c>
      <c r="F151" s="5">
        <v>9.482646995350299</v>
      </c>
      <c r="G151" s="5"/>
    </row>
    <row r="152" spans="1:7" x14ac:dyDescent="0.3">
      <c r="A152" s="4">
        <v>-8.7527482390119034E-3</v>
      </c>
      <c r="B152" s="9">
        <v>101964.72</v>
      </c>
      <c r="C152" s="10">
        <v>43732.549999999996</v>
      </c>
      <c r="D152" s="4">
        <v>1.483403094491403</v>
      </c>
      <c r="E152" s="5">
        <v>-0.33975963501446804</v>
      </c>
      <c r="F152" s="5">
        <v>-0.37540435554572205</v>
      </c>
      <c r="G152" s="5"/>
    </row>
    <row r="153" spans="1:7" x14ac:dyDescent="0.3">
      <c r="A153" s="4">
        <v>-0.11213316368459296</v>
      </c>
      <c r="B153" s="9">
        <v>112299.42</v>
      </c>
      <c r="C153" s="10">
        <v>37819.32</v>
      </c>
      <c r="D153" s="4">
        <v>1.6928384751497383</v>
      </c>
      <c r="E153" s="5">
        <v>-3.7641795814027805</v>
      </c>
      <c r="F153" s="5">
        <v>-3.7763329498941318</v>
      </c>
      <c r="G153" s="5"/>
    </row>
    <row r="154" spans="1:7" x14ac:dyDescent="0.3">
      <c r="A154" s="4">
        <v>0.22070302553185758</v>
      </c>
      <c r="B154" s="9">
        <v>123249.07</v>
      </c>
      <c r="C154" s="10">
        <v>60870.619999999995</v>
      </c>
      <c r="D154" s="4">
        <v>1.1957985642334512</v>
      </c>
      <c r="E154" s="5">
        <v>11.925937433420922</v>
      </c>
      <c r="F154" s="5">
        <v>10.900147157297008</v>
      </c>
      <c r="G154" s="5"/>
    </row>
    <row r="155" spans="1:7" x14ac:dyDescent="0.3">
      <c r="A155" s="4">
        <v>0.14825271149485789</v>
      </c>
      <c r="B155" s="9">
        <v>157668.99</v>
      </c>
      <c r="C155" s="10">
        <v>68925.08</v>
      </c>
      <c r="D155" s="4">
        <v>1.1656569713085569</v>
      </c>
      <c r="E155" s="5">
        <v>9.0709460359168741</v>
      </c>
      <c r="F155" s="5">
        <v>6.480874901272597</v>
      </c>
      <c r="G155" s="5"/>
    </row>
    <row r="156" spans="1:7" x14ac:dyDescent="0.3">
      <c r="A156" s="4">
        <v>2.1155453590354503E-2</v>
      </c>
      <c r="B156" s="9">
        <v>139816.65</v>
      </c>
      <c r="C156" s="10">
        <v>73576.3</v>
      </c>
      <c r="D156" s="4">
        <v>1.2790123993731677</v>
      </c>
      <c r="E156" s="5">
        <v>1.3817610453710196</v>
      </c>
      <c r="F156" s="5">
        <v>1.1132722747970289</v>
      </c>
      <c r="G156" s="5"/>
    </row>
    <row r="157" spans="1:7" x14ac:dyDescent="0.3">
      <c r="A157" s="4">
        <v>0.10089364357733836</v>
      </c>
      <c r="B157" s="9">
        <v>156294.18</v>
      </c>
      <c r="C157" s="10">
        <v>74238.77</v>
      </c>
      <c r="D157" s="4">
        <v>0.97535290522728213</v>
      </c>
      <c r="E157" s="5">
        <v>6.2596378040932992</v>
      </c>
      <c r="F157" s="5">
        <v>4.7923857433462977</v>
      </c>
      <c r="G157" s="5"/>
    </row>
    <row r="158" spans="1:7" x14ac:dyDescent="0.3">
      <c r="A158" s="4">
        <v>0.35086388827140558</v>
      </c>
      <c r="B158" s="9">
        <v>243959.17</v>
      </c>
      <c r="C158" s="10">
        <v>114443.04000000001</v>
      </c>
      <c r="D158" s="4">
        <v>0.3911465476624878</v>
      </c>
      <c r="E158" s="5">
        <v>32.878023417669695</v>
      </c>
      <c r="F158" s="5">
        <v>16.459282920170619</v>
      </c>
      <c r="G158" s="5"/>
    </row>
    <row r="159" spans="1:7" x14ac:dyDescent="0.3">
      <c r="A159" s="4">
        <v>8.4984686963109984E-2</v>
      </c>
      <c r="B159" s="9">
        <v>243352.69</v>
      </c>
      <c r="C159" s="10">
        <v>103082.1</v>
      </c>
      <c r="D159" s="4">
        <v>0.49907791944479202</v>
      </c>
      <c r="E159" s="5">
        <v>7.168199522141852</v>
      </c>
      <c r="F159" s="5">
        <v>3.5998780206621097</v>
      </c>
      <c r="G159" s="5"/>
    </row>
    <row r="160" spans="1:7" x14ac:dyDescent="0.3">
      <c r="A160" s="4">
        <v>-4.8214302788394413E-2</v>
      </c>
      <c r="B160" s="9">
        <v>229170.78</v>
      </c>
      <c r="C160" s="10">
        <v>92035.760000000009</v>
      </c>
      <c r="D160" s="4">
        <v>0.56040173949777772</v>
      </c>
      <c r="E160" s="5">
        <v>-3.5546441302519325</v>
      </c>
      <c r="F160" s="5">
        <v>-1.9363026996722703</v>
      </c>
      <c r="G160" s="5"/>
    </row>
    <row r="161" spans="1:7" x14ac:dyDescent="0.3">
      <c r="A161" s="4">
        <v>3.7518085792385032E-2</v>
      </c>
      <c r="B161" s="9">
        <v>218542.51</v>
      </c>
      <c r="C161" s="10">
        <v>91169.63</v>
      </c>
      <c r="D161" s="4">
        <v>0.75191705834497735</v>
      </c>
      <c r="E161" s="5">
        <v>2.7400248327792691</v>
      </c>
      <c r="F161" s="5">
        <v>1.5651462957938937</v>
      </c>
      <c r="G161" s="5"/>
    </row>
    <row r="162" spans="1:7" x14ac:dyDescent="0.3">
      <c r="A162" s="4">
        <v>-1.768637179713637E-2</v>
      </c>
      <c r="B162" s="9">
        <v>41546.17</v>
      </c>
      <c r="C162" s="10">
        <v>18965.45</v>
      </c>
      <c r="D162" s="4">
        <v>1.729091584961074</v>
      </c>
      <c r="E162" s="5">
        <v>-1.3876799602846268</v>
      </c>
      <c r="F162" s="5">
        <v>-0.80736684031283756</v>
      </c>
      <c r="G162" s="5"/>
    </row>
    <row r="163" spans="1:7" x14ac:dyDescent="0.3">
      <c r="A163" s="4">
        <v>0.15556144301673511</v>
      </c>
      <c r="B163" s="9">
        <v>55604</v>
      </c>
      <c r="C163" s="10">
        <v>22647</v>
      </c>
      <c r="D163" s="4">
        <v>1.4313595619728883</v>
      </c>
      <c r="E163" s="5">
        <v>14.57471454575542</v>
      </c>
      <c r="F163" s="5">
        <v>6.3358751168980652</v>
      </c>
      <c r="G163" s="5"/>
    </row>
    <row r="164" spans="1:7" x14ac:dyDescent="0.3">
      <c r="A164" s="4">
        <v>0.22194442460175726</v>
      </c>
      <c r="B164" s="9">
        <v>71933</v>
      </c>
      <c r="C164" s="10">
        <v>27998</v>
      </c>
      <c r="D164" s="4">
        <v>1.1330452175155368</v>
      </c>
      <c r="E164" s="5">
        <v>25.707430084395167</v>
      </c>
      <c r="F164" s="5">
        <v>8.6385942474246864</v>
      </c>
      <c r="G164" s="5"/>
    </row>
    <row r="165" spans="1:7" x14ac:dyDescent="0.3">
      <c r="A165" s="4">
        <v>0.21954303779278633</v>
      </c>
      <c r="B165" s="9">
        <v>84757</v>
      </c>
      <c r="C165" s="10">
        <v>34795</v>
      </c>
      <c r="D165" s="4">
        <v>0.85230636585716335</v>
      </c>
      <c r="E165" s="5">
        <v>31.602680787688236</v>
      </c>
      <c r="F165" s="5">
        <v>9.0128248994183373</v>
      </c>
      <c r="G165" s="5"/>
    </row>
    <row r="166" spans="1:7" x14ac:dyDescent="0.3">
      <c r="A166" s="4">
        <v>0.11011229815022268</v>
      </c>
      <c r="B166" s="9">
        <v>73326</v>
      </c>
      <c r="C166" s="10">
        <v>36599</v>
      </c>
      <c r="D166" s="4">
        <v>1.2206071204131261</v>
      </c>
      <c r="E166" s="5">
        <v>16.672182690716532</v>
      </c>
      <c r="F166" s="5">
        <v>5.496004145869132</v>
      </c>
      <c r="G166" s="5"/>
    </row>
    <row r="167" spans="1:7" x14ac:dyDescent="0.3">
      <c r="A167" s="4">
        <v>0.16916859122401848</v>
      </c>
      <c r="B167" s="9">
        <v>79839</v>
      </c>
      <c r="C167" s="10">
        <v>46764</v>
      </c>
      <c r="D167" s="4">
        <v>1.0634462406979728</v>
      </c>
      <c r="E167" s="5">
        <v>32.727949693860666</v>
      </c>
      <c r="F167" s="5">
        <v>9.9086912411227601</v>
      </c>
      <c r="G167" s="5"/>
    </row>
    <row r="168" spans="1:7" x14ac:dyDescent="0.3">
      <c r="A168" s="4">
        <v>0.3070716376658692</v>
      </c>
      <c r="B168" s="9">
        <v>146371</v>
      </c>
      <c r="C168" s="10">
        <v>67297</v>
      </c>
      <c r="D168" s="4">
        <v>0.86079617219192539</v>
      </c>
      <c r="E168" s="5">
        <v>85.49147774284296</v>
      </c>
      <c r="F168" s="5">
        <v>14.118233803144065</v>
      </c>
      <c r="G168" s="5"/>
    </row>
    <row r="169" spans="1:7" x14ac:dyDescent="0.3">
      <c r="A169" s="4">
        <v>6.3079381992541289E-2</v>
      </c>
      <c r="B169" s="9">
        <v>165960</v>
      </c>
      <c r="C169" s="10">
        <v>65695</v>
      </c>
      <c r="D169" s="4">
        <v>0.94323768932186625</v>
      </c>
      <c r="E169" s="5">
        <v>17.143802746979976</v>
      </c>
      <c r="F169" s="5">
        <v>2.4969872258375512</v>
      </c>
      <c r="G169" s="5"/>
    </row>
    <row r="170" spans="1:7" x14ac:dyDescent="0.3">
      <c r="A170" s="4">
        <v>0.11345581892389499</v>
      </c>
      <c r="B170" s="9">
        <v>175006</v>
      </c>
      <c r="C170" s="10">
        <v>77669</v>
      </c>
      <c r="D170" s="4">
        <v>0.86719283111666168</v>
      </c>
      <c r="E170" s="5">
        <v>36.033530975260682</v>
      </c>
      <c r="F170" s="5">
        <v>5.0352559340822598</v>
      </c>
      <c r="G170" s="5"/>
    </row>
    <row r="171" spans="1:7" x14ac:dyDescent="0.3">
      <c r="A171" s="4">
        <v>4.4077689443494016E-2</v>
      </c>
      <c r="B171" s="2">
        <v>168824</v>
      </c>
      <c r="C171">
        <v>79496</v>
      </c>
      <c r="D171" s="4">
        <v>1.0312845929354937</v>
      </c>
      <c r="E171" s="5">
        <v>14.328358208955223</v>
      </c>
      <c r="F171" s="5">
        <v>2.0755342842249918</v>
      </c>
      <c r="G171" s="5"/>
    </row>
    <row r="172" spans="1:7" x14ac:dyDescent="0.3">
      <c r="A172" s="4">
        <v>0.1129172413824529</v>
      </c>
      <c r="B172" s="9">
        <v>25153.24</v>
      </c>
      <c r="C172" s="10">
        <f>'[1]Balance Sheet'!I4+'[1]Balance Sheet'!J4</f>
        <v>0</v>
      </c>
      <c r="D172" s="4">
        <v>0</v>
      </c>
      <c r="E172">
        <v>0</v>
      </c>
      <c r="F172" s="5">
        <v>9.8517725748253504</v>
      </c>
      <c r="G172" s="5"/>
    </row>
    <row r="173" spans="1:7" x14ac:dyDescent="0.3">
      <c r="A173" s="4">
        <v>0.11130420807899676</v>
      </c>
      <c r="B173" s="9">
        <v>25374.94</v>
      </c>
      <c r="C173" s="10">
        <f>'[1]Balance Sheet'!I5+'[1]Balance Sheet'!J5</f>
        <v>0</v>
      </c>
      <c r="D173" s="4">
        <v>0</v>
      </c>
      <c r="E173">
        <v>0</v>
      </c>
      <c r="F173" s="5">
        <v>10.69921741686877</v>
      </c>
      <c r="G173" s="5"/>
    </row>
    <row r="174" spans="1:7" x14ac:dyDescent="0.3">
      <c r="A174" s="4">
        <v>8.4233217947959835E-2</v>
      </c>
      <c r="B174" s="9">
        <v>30978.62</v>
      </c>
      <c r="C174" s="10">
        <f>'[1]Balance Sheet'!I6+'[1]Balance Sheet'!J6</f>
        <v>0</v>
      </c>
      <c r="D174" s="4">
        <v>0</v>
      </c>
      <c r="E174">
        <v>0</v>
      </c>
      <c r="F174" s="5">
        <v>7.1732375425374011</v>
      </c>
      <c r="G174" s="5"/>
    </row>
    <row r="175" spans="1:7" x14ac:dyDescent="0.3">
      <c r="A175" s="4">
        <v>7.1213739587237576E-2</v>
      </c>
      <c r="B175" s="9">
        <v>41462.26</v>
      </c>
      <c r="C175" s="10">
        <f>'[1]Balance Sheet'!I7+'[1]Balance Sheet'!J7</f>
        <v>0</v>
      </c>
      <c r="D175" s="4">
        <v>0</v>
      </c>
      <c r="E175">
        <v>0</v>
      </c>
      <c r="F175" s="5">
        <v>5.7968620137927838</v>
      </c>
      <c r="G175" s="5"/>
    </row>
    <row r="176" spans="1:7" x14ac:dyDescent="0.3">
      <c r="A176" s="4">
        <v>0.1474053728431893</v>
      </c>
      <c r="B176" s="9">
        <v>42429.89</v>
      </c>
      <c r="C176" s="10">
        <f>'[1]Balance Sheet'!I8+'[1]Balance Sheet'!J8</f>
        <v>0</v>
      </c>
      <c r="D176" s="4">
        <v>0</v>
      </c>
      <c r="E176">
        <v>0</v>
      </c>
      <c r="F176" s="5">
        <v>13.564164319068469</v>
      </c>
      <c r="G176" s="5"/>
    </row>
    <row r="177" spans="1:7" x14ac:dyDescent="0.3">
      <c r="A177" s="4">
        <v>0.12367039217941138</v>
      </c>
      <c r="B177" s="9">
        <v>44725.8</v>
      </c>
      <c r="C177" s="10">
        <f>'[1]Balance Sheet'!I9+'[1]Balance Sheet'!J9</f>
        <v>0</v>
      </c>
      <c r="D177" s="4">
        <v>0</v>
      </c>
      <c r="E177">
        <v>0</v>
      </c>
      <c r="F177" s="5">
        <v>12.214650157179973</v>
      </c>
      <c r="G177" s="5"/>
    </row>
    <row r="178" spans="1:7" x14ac:dyDescent="0.3">
      <c r="A178" s="4">
        <v>0.14561853242780301</v>
      </c>
      <c r="B178" s="9">
        <v>52598.83</v>
      </c>
      <c r="C178" s="10">
        <f>'[1]Balance Sheet'!I10+'[1]Balance Sheet'!J10</f>
        <v>0</v>
      </c>
      <c r="D178" s="4">
        <v>0</v>
      </c>
      <c r="E178">
        <v>0</v>
      </c>
      <c r="F178" s="5">
        <v>13.962877121031021</v>
      </c>
      <c r="G178" s="5"/>
    </row>
    <row r="179" spans="1:7" x14ac:dyDescent="0.3">
      <c r="A179" s="4">
        <v>9.3216804044728221E-2</v>
      </c>
      <c r="B179" s="9">
        <v>63239.98</v>
      </c>
      <c r="C179" s="10">
        <f>'[1]Balance Sheet'!I11+'[1]Balance Sheet'!J11</f>
        <v>0</v>
      </c>
      <c r="D179" s="4">
        <v>0</v>
      </c>
      <c r="E179">
        <v>0</v>
      </c>
      <c r="F179" s="5">
        <v>8.0075294141459246</v>
      </c>
      <c r="G179" s="5"/>
    </row>
    <row r="180" spans="1:7" x14ac:dyDescent="0.3">
      <c r="A180" s="4">
        <v>0.11630903368362747</v>
      </c>
      <c r="B180" s="9">
        <v>70908.14</v>
      </c>
      <c r="C180" s="10">
        <f>'[1]Balance Sheet'!I12+'[1]Balance Sheet'!J12</f>
        <v>0</v>
      </c>
      <c r="D180" s="4">
        <v>0</v>
      </c>
      <c r="E180">
        <v>0</v>
      </c>
      <c r="F180" s="5">
        <v>9.878978633482701</v>
      </c>
      <c r="G180" s="5"/>
    </row>
    <row r="181" spans="1:7" x14ac:dyDescent="0.3">
      <c r="A181" s="4">
        <v>8.5410633239221656E-2</v>
      </c>
      <c r="B181" s="9">
        <v>75955.13</v>
      </c>
      <c r="C181" s="10">
        <f>'[1]Balance Sheet'!I13+'[1]Balance Sheet'!J13</f>
        <v>0</v>
      </c>
      <c r="D181" s="4">
        <v>0</v>
      </c>
      <c r="E181">
        <v>0</v>
      </c>
      <c r="F181" s="5">
        <v>7.9508915329352989</v>
      </c>
      <c r="G181" s="5"/>
    </row>
    <row r="182" spans="1:7" x14ac:dyDescent="0.3">
      <c r="A182" s="4">
        <v>0.13782195880964682</v>
      </c>
      <c r="B182" s="9">
        <v>28487.03</v>
      </c>
      <c r="C182" s="10">
        <v>32982.480000000003</v>
      </c>
      <c r="D182" s="4">
        <v>9.4292484979904473E-2</v>
      </c>
      <c r="E182" s="5">
        <v>18.887730086840904</v>
      </c>
      <c r="F182" s="5">
        <v>15.957121539170634</v>
      </c>
      <c r="G182" s="5"/>
    </row>
    <row r="183" spans="1:7" x14ac:dyDescent="0.3">
      <c r="A183" s="4">
        <v>0.19007731237754052</v>
      </c>
      <c r="B183" s="9">
        <v>31578.44</v>
      </c>
      <c r="C183" s="10">
        <v>36639.67</v>
      </c>
      <c r="D183" s="4">
        <v>3.9192492727145201E-2</v>
      </c>
      <c r="E183" s="5">
        <v>29.026674446713624</v>
      </c>
      <c r="F183" s="5">
        <v>22.054192670695578</v>
      </c>
      <c r="G183" s="5"/>
    </row>
    <row r="184" spans="1:7" x14ac:dyDescent="0.3">
      <c r="A184" s="4">
        <v>5.4697864572607842E-2</v>
      </c>
      <c r="B184" s="10">
        <v>26489.46</v>
      </c>
      <c r="C184" s="10">
        <v>38314.11</v>
      </c>
      <c r="D184" s="4">
        <v>4.6249279965005059E-2</v>
      </c>
      <c r="E184" s="5">
        <v>8.7346309340224231</v>
      </c>
      <c r="F184" s="5">
        <v>7.9114485535001462</v>
      </c>
      <c r="G184" s="5"/>
    </row>
    <row r="185" spans="1:7" x14ac:dyDescent="0.3">
      <c r="A185" s="4">
        <v>6.4368039264837223E-2</v>
      </c>
      <c r="B185" s="10">
        <v>29065.91</v>
      </c>
      <c r="C185" s="10">
        <v>41409.06</v>
      </c>
      <c r="D185" s="4">
        <v>3.6779390790324634E-2</v>
      </c>
      <c r="E185" s="5">
        <v>11.109156837410911</v>
      </c>
      <c r="F185" s="5">
        <v>9.1702616570408431</v>
      </c>
      <c r="G185" s="5"/>
    </row>
    <row r="186" spans="1:7" x14ac:dyDescent="0.3">
      <c r="A186" s="4">
        <v>8.3176311652963866E-2</v>
      </c>
      <c r="B186" s="10">
        <v>32837.5</v>
      </c>
      <c r="C186" s="10">
        <v>45264.45</v>
      </c>
      <c r="D186" s="4">
        <v>4.4825464575400785E-2</v>
      </c>
      <c r="E186" s="5">
        <v>15.691785103988662</v>
      </c>
      <c r="F186" s="5">
        <v>11.465336886181957</v>
      </c>
      <c r="G186" s="5"/>
    </row>
    <row r="187" spans="1:7" x14ac:dyDescent="0.3">
      <c r="A187" s="4">
        <v>6.2497767029867785E-2</v>
      </c>
      <c r="B187" s="10">
        <v>33498.14</v>
      </c>
      <c r="C187" s="10">
        <v>46462.78</v>
      </c>
      <c r="D187" s="4">
        <v>1.4097305413063962E-2</v>
      </c>
      <c r="E187" s="5">
        <v>12.102779977493435</v>
      </c>
      <c r="F187" s="5">
        <v>8.6686007043973188</v>
      </c>
      <c r="G187" s="5"/>
    </row>
    <row r="188" spans="1:7" x14ac:dyDescent="0.3">
      <c r="A188" s="4">
        <v>6.8165941211241865E-2</v>
      </c>
      <c r="B188" s="10">
        <v>38654.49</v>
      </c>
      <c r="C188" s="10">
        <v>48011.22</v>
      </c>
      <c r="D188" s="4">
        <v>4.7905468763343234E-3</v>
      </c>
      <c r="E188" s="5">
        <v>13.640353436418955</v>
      </c>
      <c r="F188" s="5">
        <v>8.4666231529636029</v>
      </c>
      <c r="G188" s="5"/>
    </row>
    <row r="189" spans="1:7" x14ac:dyDescent="0.3">
      <c r="A189" s="4">
        <v>0.15132641300050112</v>
      </c>
      <c r="B189" s="10">
        <v>43885.68</v>
      </c>
      <c r="C189" s="10">
        <v>55995.38</v>
      </c>
      <c r="D189" s="4">
        <v>0</v>
      </c>
      <c r="E189" s="5">
        <v>35.316884091193266</v>
      </c>
      <c r="F189" s="5">
        <v>19.308302845028262</v>
      </c>
      <c r="G189" s="5"/>
    </row>
    <row r="190" spans="1:7" x14ac:dyDescent="0.3">
      <c r="A190" s="4">
        <v>0.15041414867258027</v>
      </c>
      <c r="B190" s="10">
        <v>48496.85</v>
      </c>
      <c r="C190" s="10">
        <v>63666.75</v>
      </c>
      <c r="D190" s="4">
        <v>1.5706785724102455E-5</v>
      </c>
      <c r="E190" s="5">
        <v>39.913224690534733</v>
      </c>
      <c r="F190" s="5">
        <v>19.746395899939891</v>
      </c>
      <c r="G190" s="5"/>
    </row>
    <row r="191" spans="1:7" x14ac:dyDescent="0.3">
      <c r="A191" s="4">
        <v>0.15133397453987249</v>
      </c>
      <c r="B191" s="10">
        <v>52578.44</v>
      </c>
      <c r="C191" s="10">
        <v>72218.01999999999</v>
      </c>
      <c r="D191" s="4">
        <v>4.1540878578504374E-5</v>
      </c>
      <c r="E191" s="5">
        <v>45.550952361105324</v>
      </c>
      <c r="F191" s="5">
        <v>20.786162541148045</v>
      </c>
      <c r="G191" s="5"/>
    </row>
    <row r="192" spans="1:7" x14ac:dyDescent="0.3">
      <c r="A192" s="4">
        <v>0.16950150360387595</v>
      </c>
      <c r="B192" s="10">
        <v>15568.3</v>
      </c>
      <c r="C192" s="10">
        <v>12569.8</v>
      </c>
      <c r="D192" s="4">
        <v>8.4965552355646082E-2</v>
      </c>
      <c r="E192" s="5">
        <v>24.977725674091442</v>
      </c>
      <c r="F192" s="5">
        <v>13.685501949474252</v>
      </c>
      <c r="G192" s="5"/>
    </row>
    <row r="193" spans="1:7" x14ac:dyDescent="0.3">
      <c r="A193" s="4">
        <v>0.10537346783992953</v>
      </c>
      <c r="B193" s="10">
        <v>14196.1</v>
      </c>
      <c r="C193" s="10">
        <v>12262.1</v>
      </c>
      <c r="D193" s="4">
        <v>4.4445894259547709E-2</v>
      </c>
      <c r="E193" s="5">
        <v>15.591890913478942</v>
      </c>
      <c r="F193" s="5">
        <v>9.1017955635702759</v>
      </c>
      <c r="G193" s="5"/>
    </row>
    <row r="194" spans="1:7" x14ac:dyDescent="0.3">
      <c r="A194" s="4">
        <v>7.5312609373508532E-2</v>
      </c>
      <c r="B194" s="10">
        <v>14281</v>
      </c>
      <c r="C194" s="10">
        <v>12571.6</v>
      </c>
      <c r="D194" s="4">
        <v>0.19957682395240064</v>
      </c>
      <c r="E194" s="5">
        <v>11.412729026036644</v>
      </c>
      <c r="F194" s="5">
        <v>6.6297878299838953</v>
      </c>
      <c r="G194" s="5"/>
    </row>
    <row r="195" spans="1:7" x14ac:dyDescent="0.3">
      <c r="A195" s="4">
        <v>0.13905131350009983</v>
      </c>
      <c r="B195" s="10">
        <v>15448.2</v>
      </c>
      <c r="C195" s="10">
        <v>14023.6</v>
      </c>
      <c r="D195" s="4">
        <v>0.15687840497447161</v>
      </c>
      <c r="E195" s="5">
        <v>23.485487173310851</v>
      </c>
      <c r="F195" s="5">
        <v>12.622829844253699</v>
      </c>
      <c r="G195" s="5"/>
    </row>
    <row r="196" spans="1:7" x14ac:dyDescent="0.3">
      <c r="A196" s="4">
        <v>0.12988178577839321</v>
      </c>
      <c r="B196" s="10">
        <v>17517</v>
      </c>
      <c r="C196" s="10">
        <v>15598.800000000001</v>
      </c>
      <c r="D196" s="4">
        <v>8.333974408287816E-3</v>
      </c>
      <c r="E196" s="5">
        <v>24.383198940907448</v>
      </c>
      <c r="F196" s="5">
        <v>11.565907404235885</v>
      </c>
      <c r="G196" s="5"/>
    </row>
    <row r="197" spans="1:7" x14ac:dyDescent="0.3">
      <c r="A197" s="4">
        <v>0.11062425956682179</v>
      </c>
      <c r="B197" s="10">
        <v>19047.5</v>
      </c>
      <c r="C197" s="10">
        <v>17641.7</v>
      </c>
      <c r="D197" s="4">
        <v>2.1539874275154889E-2</v>
      </c>
      <c r="E197" s="5">
        <v>23.470835838845456</v>
      </c>
      <c r="F197" s="5">
        <v>10.245964037275233</v>
      </c>
      <c r="G197" s="5"/>
    </row>
    <row r="198" spans="1:7" x14ac:dyDescent="0.3">
      <c r="A198" s="4">
        <v>0.11359850929607961</v>
      </c>
      <c r="B198" s="10">
        <v>21545.200000000001</v>
      </c>
      <c r="C198" s="10">
        <v>19212.400000000001</v>
      </c>
      <c r="D198" s="4">
        <v>1.9778892798401032E-2</v>
      </c>
      <c r="E198" s="5">
        <v>26.228818651604378</v>
      </c>
      <c r="F198" s="5">
        <v>10.129866513190873</v>
      </c>
      <c r="G198" s="5"/>
    </row>
    <row r="199" spans="1:7" x14ac:dyDescent="0.3">
      <c r="A199" s="4">
        <v>0.19356182443603698</v>
      </c>
      <c r="B199" s="10">
        <v>24669.7</v>
      </c>
      <c r="C199" s="10">
        <v>23286.1</v>
      </c>
      <c r="D199" s="4">
        <v>0</v>
      </c>
      <c r="E199" s="5">
        <v>54.135239010329087</v>
      </c>
      <c r="F199" s="5">
        <v>18.270591048938574</v>
      </c>
      <c r="G199" s="5"/>
    </row>
    <row r="200" spans="1:7" x14ac:dyDescent="0.3">
      <c r="A200" s="4">
        <v>0.19741424465931448</v>
      </c>
      <c r="B200" s="10">
        <v>28011.1</v>
      </c>
      <c r="C200" s="10">
        <v>28254.800000000003</v>
      </c>
      <c r="D200" s="4">
        <v>1.3449042286620324E-2</v>
      </c>
      <c r="E200" s="5">
        <v>66.873276585541305</v>
      </c>
      <c r="F200" s="5">
        <v>19.913177276151238</v>
      </c>
      <c r="G200" s="5"/>
    </row>
    <row r="201" spans="1:7" x14ac:dyDescent="0.3">
      <c r="A201" s="4">
        <v>0.16855938669909629</v>
      </c>
      <c r="B201" s="10">
        <v>32643.9</v>
      </c>
      <c r="C201" s="10">
        <v>33549.599999999999</v>
      </c>
      <c r="D201" s="4">
        <v>1.132651357989365E-2</v>
      </c>
      <c r="E201" s="5">
        <v>67.766327142001202</v>
      </c>
      <c r="F201" s="5">
        <v>17.323604103676338</v>
      </c>
      <c r="G20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06A6-6DB7-473D-95BA-FC6D53BDE297}">
  <dimension ref="A1:I23"/>
  <sheetViews>
    <sheetView workbookViewId="0">
      <selection activeCell="M15" sqref="M15"/>
    </sheetView>
  </sheetViews>
  <sheetFormatPr defaultRowHeight="14.4" x14ac:dyDescent="0.3"/>
  <cols>
    <col min="1" max="1" width="17.44140625" bestFit="1" customWidth="1"/>
    <col min="2" max="2" width="11.109375" bestFit="1" customWidth="1"/>
  </cols>
  <sheetData>
    <row r="1" spans="1:9" x14ac:dyDescent="0.3">
      <c r="A1" s="5" t="s">
        <v>29</v>
      </c>
      <c r="B1" s="5"/>
      <c r="C1" s="5"/>
      <c r="D1" s="5"/>
      <c r="E1" s="5"/>
      <c r="F1" s="5"/>
      <c r="G1" s="5"/>
      <c r="H1" s="5"/>
      <c r="I1" s="5"/>
    </row>
    <row r="2" spans="1:9" ht="15" thickBot="1" x14ac:dyDescent="0.35">
      <c r="A2" s="5"/>
      <c r="B2" s="5"/>
      <c r="C2" s="5"/>
      <c r="D2" s="5"/>
      <c r="E2" s="5"/>
      <c r="F2" s="5"/>
      <c r="G2" s="5"/>
      <c r="H2" s="5"/>
      <c r="I2" s="5"/>
    </row>
    <row r="3" spans="1:9" x14ac:dyDescent="0.3">
      <c r="A3" s="12" t="s">
        <v>30</v>
      </c>
      <c r="B3" s="12"/>
      <c r="C3" s="5"/>
      <c r="D3" s="5"/>
      <c r="E3" s="5"/>
      <c r="F3" s="5"/>
      <c r="G3" s="5"/>
      <c r="H3" s="5"/>
      <c r="I3" s="5"/>
    </row>
    <row r="4" spans="1:9" x14ac:dyDescent="0.3">
      <c r="A4" s="5" t="s">
        <v>31</v>
      </c>
      <c r="B4" s="5">
        <v>0.65668416966187848</v>
      </c>
      <c r="C4" s="5"/>
      <c r="D4" s="5"/>
      <c r="E4" s="5"/>
      <c r="F4" s="5"/>
      <c r="G4" s="5"/>
      <c r="H4" s="5"/>
      <c r="I4" s="5"/>
    </row>
    <row r="5" spans="1:9" x14ac:dyDescent="0.3">
      <c r="A5" s="5" t="s">
        <v>32</v>
      </c>
      <c r="B5" s="5">
        <v>0.43123409868451079</v>
      </c>
      <c r="C5" s="5"/>
      <c r="D5" s="5"/>
      <c r="E5" s="5"/>
      <c r="F5" s="5"/>
      <c r="G5" s="5"/>
      <c r="H5" s="5"/>
      <c r="I5" s="5"/>
    </row>
    <row r="6" spans="1:9" x14ac:dyDescent="0.3">
      <c r="A6" s="5" t="s">
        <v>33</v>
      </c>
      <c r="B6" s="5">
        <v>0.41956710583701357</v>
      </c>
      <c r="C6" s="5"/>
      <c r="D6" s="5"/>
      <c r="E6" s="5"/>
      <c r="F6" s="5"/>
      <c r="G6" s="5"/>
      <c r="H6" s="5"/>
      <c r="I6" s="5"/>
    </row>
    <row r="7" spans="1:9" x14ac:dyDescent="0.3">
      <c r="A7" s="5" t="s">
        <v>34</v>
      </c>
      <c r="B7" s="5">
        <v>6.0570483733712841</v>
      </c>
      <c r="C7" s="5"/>
      <c r="D7" s="5"/>
      <c r="E7" s="5"/>
      <c r="F7" s="5"/>
      <c r="G7" s="5"/>
      <c r="H7" s="5"/>
      <c r="I7" s="5"/>
    </row>
    <row r="8" spans="1:9" ht="15" thickBot="1" x14ac:dyDescent="0.35">
      <c r="A8" s="13" t="s">
        <v>35</v>
      </c>
      <c r="B8" s="13">
        <v>200</v>
      </c>
      <c r="C8" s="5"/>
      <c r="D8" s="5"/>
      <c r="E8" s="5"/>
      <c r="F8" s="5"/>
      <c r="G8" s="5"/>
      <c r="H8" s="5"/>
      <c r="I8" s="5"/>
    </row>
    <row r="9" spans="1:9" x14ac:dyDescent="0.3">
      <c r="A9" s="5"/>
      <c r="B9" s="5"/>
      <c r="C9" s="5"/>
      <c r="D9" s="5"/>
      <c r="E9" s="5"/>
      <c r="F9" s="5"/>
      <c r="G9" s="5"/>
      <c r="H9" s="5"/>
      <c r="I9" s="5"/>
    </row>
    <row r="10" spans="1:9" ht="15" thickBot="1" x14ac:dyDescent="0.35">
      <c r="A10" s="5" t="s">
        <v>36</v>
      </c>
      <c r="B10" s="5"/>
      <c r="C10" s="5"/>
      <c r="D10" s="5"/>
      <c r="E10" s="5"/>
      <c r="F10" s="5"/>
      <c r="G10" s="5"/>
      <c r="H10" s="5"/>
      <c r="I10" s="5"/>
    </row>
    <row r="11" spans="1:9" x14ac:dyDescent="0.3">
      <c r="A11" s="14"/>
      <c r="B11" s="14" t="s">
        <v>41</v>
      </c>
      <c r="C11" s="14" t="s">
        <v>42</v>
      </c>
      <c r="D11" s="14" t="s">
        <v>43</v>
      </c>
      <c r="E11" s="14" t="s">
        <v>44</v>
      </c>
      <c r="F11" s="14" t="s">
        <v>45</v>
      </c>
      <c r="G11" s="5"/>
      <c r="H11" s="5"/>
      <c r="I11" s="5"/>
    </row>
    <row r="12" spans="1:9" x14ac:dyDescent="0.3">
      <c r="A12" s="5" t="s">
        <v>37</v>
      </c>
      <c r="B12" s="5">
        <v>4</v>
      </c>
      <c r="C12" s="5">
        <v>5424.2067907554692</v>
      </c>
      <c r="D12" s="5">
        <v>1356.0516976888673</v>
      </c>
      <c r="E12" s="5">
        <v>36.961889350692324</v>
      </c>
      <c r="F12" s="5">
        <v>5.4947416000012458E-23</v>
      </c>
      <c r="G12" s="5"/>
      <c r="H12" s="5"/>
      <c r="I12" s="5"/>
    </row>
    <row r="13" spans="1:9" x14ac:dyDescent="0.3">
      <c r="A13" s="5" t="s">
        <v>38</v>
      </c>
      <c r="B13" s="5">
        <v>195</v>
      </c>
      <c r="C13" s="5">
        <v>7154.1278244851446</v>
      </c>
      <c r="D13" s="5">
        <v>36.687834997359715</v>
      </c>
      <c r="E13" s="5"/>
      <c r="F13" s="5"/>
      <c r="G13" s="5"/>
      <c r="H13" s="5"/>
      <c r="I13" s="5"/>
    </row>
    <row r="14" spans="1:9" ht="15" thickBot="1" x14ac:dyDescent="0.35">
      <c r="A14" s="13" t="s">
        <v>39</v>
      </c>
      <c r="B14" s="13">
        <v>199</v>
      </c>
      <c r="C14" s="13">
        <v>12578.334615240614</v>
      </c>
      <c r="D14" s="13"/>
      <c r="E14" s="13"/>
      <c r="F14" s="13"/>
      <c r="G14" s="5"/>
      <c r="H14" s="5"/>
      <c r="I14" s="5"/>
    </row>
    <row r="15" spans="1:9" ht="15" thickBot="1" x14ac:dyDescent="0.35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3">
      <c r="A16" s="14"/>
      <c r="B16" s="14" t="s">
        <v>46</v>
      </c>
      <c r="C16" s="14" t="s">
        <v>34</v>
      </c>
      <c r="D16" s="14" t="s">
        <v>47</v>
      </c>
      <c r="E16" s="14" t="s">
        <v>48</v>
      </c>
      <c r="F16" s="14" t="s">
        <v>49</v>
      </c>
      <c r="G16" s="14" t="s">
        <v>50</v>
      </c>
      <c r="H16" s="14" t="s">
        <v>51</v>
      </c>
      <c r="I16" s="14" t="s">
        <v>52</v>
      </c>
    </row>
    <row r="17" spans="1:9" x14ac:dyDescent="0.3">
      <c r="A17" s="5" t="s">
        <v>40</v>
      </c>
      <c r="B17" s="5">
        <v>10.630436550023795</v>
      </c>
      <c r="C17" s="5">
        <v>0.83292410603773448</v>
      </c>
      <c r="D17" s="5">
        <v>12.762791319119533</v>
      </c>
      <c r="E17" s="5">
        <v>1.6316344606432136E-27</v>
      </c>
      <c r="F17" s="5">
        <v>8.9877402536970266</v>
      </c>
      <c r="G17" s="5">
        <v>12.273132846350563</v>
      </c>
      <c r="H17" s="5">
        <v>8.9877402536970266</v>
      </c>
      <c r="I17" s="5">
        <v>12.273132846350563</v>
      </c>
    </row>
    <row r="18" spans="1:9" x14ac:dyDescent="0.3">
      <c r="A18" s="5" t="s">
        <v>7</v>
      </c>
      <c r="B18" s="5">
        <v>14.764552880464901</v>
      </c>
      <c r="C18" s="5">
        <v>2.0462970938906171</v>
      </c>
      <c r="D18" s="5">
        <v>7.215253798945251</v>
      </c>
      <c r="E18" s="5">
        <v>1.1661931534965892E-11</v>
      </c>
      <c r="F18" s="5">
        <v>10.728837461794978</v>
      </c>
      <c r="G18" s="5">
        <v>18.800268299134824</v>
      </c>
      <c r="H18" s="5">
        <v>10.728837461794978</v>
      </c>
      <c r="I18" s="5">
        <v>18.800268299134824</v>
      </c>
    </row>
    <row r="19" spans="1:9" x14ac:dyDescent="0.3">
      <c r="A19" s="5" t="s">
        <v>3</v>
      </c>
      <c r="B19" s="5">
        <v>-4.0583765847612447E-5</v>
      </c>
      <c r="C19" s="5">
        <v>5.476524243005299E-6</v>
      </c>
      <c r="D19" s="5">
        <v>-7.4104968857659408</v>
      </c>
      <c r="E19" s="5">
        <v>3.7278032575491158E-12</v>
      </c>
      <c r="F19" s="5">
        <v>-5.1384589146537356E-5</v>
      </c>
      <c r="G19" s="5">
        <v>-2.9782942548687537E-5</v>
      </c>
      <c r="H19" s="5">
        <v>-5.1384589146537356E-5</v>
      </c>
      <c r="I19" s="5">
        <v>-2.9782942548687537E-5</v>
      </c>
    </row>
    <row r="20" spans="1:9" x14ac:dyDescent="0.3">
      <c r="A20" s="5" t="s">
        <v>4</v>
      </c>
      <c r="B20" s="5">
        <v>4.2235622970612065E-5</v>
      </c>
      <c r="C20" s="5">
        <v>6.2536496713236073E-6</v>
      </c>
      <c r="D20" s="5">
        <v>6.7537558370571062</v>
      </c>
      <c r="E20" s="5">
        <v>1.6152505932686402E-10</v>
      </c>
      <c r="F20" s="5">
        <v>2.9902149753614063E-5</v>
      </c>
      <c r="G20" s="5">
        <v>5.4569096187610068E-5</v>
      </c>
      <c r="H20" s="5">
        <v>2.9902149753614063E-5</v>
      </c>
      <c r="I20" s="5">
        <v>5.4569096187610068E-5</v>
      </c>
    </row>
    <row r="21" spans="1:9" ht="15" thickBot="1" x14ac:dyDescent="0.35">
      <c r="A21" s="13" t="s">
        <v>6</v>
      </c>
      <c r="B21" s="13">
        <v>0.43078693805244067</v>
      </c>
      <c r="C21" s="13">
        <v>0.19167181365590541</v>
      </c>
      <c r="D21" s="13">
        <v>2.2475236699424226</v>
      </c>
      <c r="E21" s="13">
        <v>2.5726596013506488E-2</v>
      </c>
      <c r="F21" s="13">
        <v>5.2771010646293359E-2</v>
      </c>
      <c r="G21" s="13">
        <v>0.80880286545858793</v>
      </c>
      <c r="H21" s="13">
        <v>5.2771010646293359E-2</v>
      </c>
      <c r="I21" s="13">
        <v>0.80880286545858793</v>
      </c>
    </row>
    <row r="23" spans="1:9" x14ac:dyDescent="0.3">
      <c r="A23" s="11" t="s">
        <v>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old</vt:lpstr>
      <vt:lpstr>Sheet4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Kashyap</dc:creator>
  <cp:lastModifiedBy>Sudeep Kashyap</cp:lastModifiedBy>
  <dcterms:created xsi:type="dcterms:W3CDTF">2025-09-10T07:18:45Z</dcterms:created>
  <dcterms:modified xsi:type="dcterms:W3CDTF">2026-02-04T12:48:01Z</dcterms:modified>
</cp:coreProperties>
</file>